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atish/Desktop/"/>
    </mc:Choice>
  </mc:AlternateContent>
  <xr:revisionPtr revIDLastSave="0" documentId="13_ncr:1_{4FF51AD3-FC0D-2F46-9A1D-09900934A9DA}" xr6:coauthVersionLast="45" xr6:coauthVersionMax="47" xr10:uidLastSave="{00000000-0000-0000-0000-000000000000}"/>
  <bookViews>
    <workbookView xWindow="0" yWindow="0" windowWidth="25600" windowHeight="16000" activeTab="5" xr2:uid="{2B0A8256-7EF8-4494-BAE2-E331B2BAE996}"/>
  </bookViews>
  <sheets>
    <sheet name="sb (2)" sheetId="6" r:id="rId1"/>
    <sheet name="LA SUNS NUGGETS WARRIORS" sheetId="4" r:id="rId2"/>
    <sheet name="Team List" sheetId="2" r:id="rId3"/>
    <sheet name="Week 5" sheetId="1" r:id="rId4"/>
    <sheet name="Sheet2" sheetId="3" r:id="rId5"/>
    <sheet name="s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4" l="1"/>
  <c r="G9" i="4"/>
  <c r="H9" i="4"/>
  <c r="D30" i="4" s="1"/>
  <c r="H6" i="4"/>
  <c r="H7" i="4"/>
  <c r="E31" i="4" s="1"/>
  <c r="H7" i="6"/>
  <c r="H6" i="6"/>
  <c r="E6" i="6"/>
  <c r="F10" i="6"/>
  <c r="F9" i="6"/>
  <c r="F7" i="6"/>
  <c r="F6" i="6"/>
  <c r="I25" i="4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A87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H78" i="6"/>
  <c r="A67" i="6"/>
  <c r="H58" i="6"/>
  <c r="B56" i="6"/>
  <c r="A46" i="6"/>
  <c r="H37" i="6"/>
  <c r="B35" i="6"/>
  <c r="B31" i="6"/>
  <c r="B30" i="6"/>
  <c r="E29" i="6"/>
  <c r="D29" i="6"/>
  <c r="B24" i="6"/>
  <c r="B23" i="6"/>
  <c r="E22" i="6"/>
  <c r="D22" i="6"/>
  <c r="B17" i="6"/>
  <c r="B16" i="6"/>
  <c r="E15" i="6"/>
  <c r="D15" i="6"/>
  <c r="G14" i="6"/>
  <c r="H10" i="6"/>
  <c r="E10" i="6"/>
  <c r="E17" i="6" s="1"/>
  <c r="H9" i="6"/>
  <c r="D30" i="6" s="1"/>
  <c r="D23" i="6"/>
  <c r="E9" i="6"/>
  <c r="D24" i="6"/>
  <c r="E7" i="6"/>
  <c r="D16" i="6"/>
  <c r="H9" i="5"/>
  <c r="H7" i="5"/>
  <c r="D22" i="5"/>
  <c r="E22" i="5"/>
  <c r="B23" i="5"/>
  <c r="B2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J93" i="5"/>
  <c r="I93" i="5"/>
  <c r="H93" i="5"/>
  <c r="G93" i="5"/>
  <c r="F93" i="5"/>
  <c r="E93" i="5"/>
  <c r="D93" i="5"/>
  <c r="I92" i="5"/>
  <c r="H92" i="5"/>
  <c r="G92" i="5"/>
  <c r="F92" i="5"/>
  <c r="E92" i="5"/>
  <c r="D92" i="5"/>
  <c r="I91" i="5"/>
  <c r="H91" i="5"/>
  <c r="G91" i="5"/>
  <c r="F91" i="5"/>
  <c r="E91" i="5"/>
  <c r="D91" i="5"/>
  <c r="H90" i="5"/>
  <c r="G90" i="5"/>
  <c r="F90" i="5"/>
  <c r="E90" i="5"/>
  <c r="D90" i="5"/>
  <c r="H89" i="5"/>
  <c r="G89" i="5"/>
  <c r="F89" i="5"/>
  <c r="E89" i="5"/>
  <c r="D89" i="5"/>
  <c r="G88" i="5"/>
  <c r="F88" i="5"/>
  <c r="E88" i="5"/>
  <c r="D88" i="5"/>
  <c r="F87" i="5"/>
  <c r="E87" i="5"/>
  <c r="D87" i="5"/>
  <c r="A87" i="5"/>
  <c r="F86" i="5"/>
  <c r="E86" i="5"/>
  <c r="D86" i="5"/>
  <c r="E85" i="5"/>
  <c r="D85" i="5"/>
  <c r="P84" i="5"/>
  <c r="O84" i="5"/>
  <c r="N84" i="5"/>
  <c r="E84" i="5"/>
  <c r="D84" i="5"/>
  <c r="P83" i="5"/>
  <c r="O83" i="5"/>
  <c r="N83" i="5"/>
  <c r="M83" i="5"/>
  <c r="L83" i="5"/>
  <c r="K83" i="5"/>
  <c r="D83" i="5"/>
  <c r="P82" i="5"/>
  <c r="O82" i="5"/>
  <c r="N82" i="5"/>
  <c r="M82" i="5"/>
  <c r="L82" i="5"/>
  <c r="K82" i="5"/>
  <c r="J82" i="5"/>
  <c r="I82" i="5"/>
  <c r="D82" i="5"/>
  <c r="P81" i="5"/>
  <c r="O81" i="5"/>
  <c r="N81" i="5"/>
  <c r="M81" i="5"/>
  <c r="L81" i="5"/>
  <c r="K81" i="5"/>
  <c r="J81" i="5"/>
  <c r="I81" i="5"/>
  <c r="H81" i="5"/>
  <c r="G81" i="5"/>
  <c r="F81" i="5"/>
  <c r="H78" i="5"/>
  <c r="A67" i="5"/>
  <c r="H58" i="5"/>
  <c r="B56" i="5"/>
  <c r="A46" i="5"/>
  <c r="H37" i="5"/>
  <c r="B35" i="5"/>
  <c r="B31" i="5"/>
  <c r="B30" i="5"/>
  <c r="E29" i="5"/>
  <c r="D29" i="5"/>
  <c r="B17" i="5"/>
  <c r="B16" i="5"/>
  <c r="E15" i="5"/>
  <c r="D15" i="5"/>
  <c r="F10" i="5"/>
  <c r="H10" i="5" s="1"/>
  <c r="E10" i="5"/>
  <c r="F9" i="5"/>
  <c r="E9" i="5"/>
  <c r="F7" i="5"/>
  <c r="E7" i="5"/>
  <c r="F6" i="5"/>
  <c r="H6" i="5" s="1"/>
  <c r="E6" i="5"/>
  <c r="E30" i="3"/>
  <c r="H6" i="3"/>
  <c r="G25" i="4"/>
  <c r="I23" i="4"/>
  <c r="I18" i="4"/>
  <c r="G6" i="4"/>
  <c r="G10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A87" i="4"/>
  <c r="J86" i="4"/>
  <c r="H86" i="4"/>
  <c r="F86" i="4"/>
  <c r="D86" i="4"/>
  <c r="O85" i="4"/>
  <c r="M85" i="4"/>
  <c r="K85" i="4"/>
  <c r="I85" i="4"/>
  <c r="G85" i="4"/>
  <c r="E85" i="4"/>
  <c r="P84" i="4"/>
  <c r="O84" i="4"/>
  <c r="N84" i="4"/>
  <c r="L84" i="4"/>
  <c r="J84" i="4"/>
  <c r="H84" i="4"/>
  <c r="F84" i="4"/>
  <c r="D84" i="4"/>
  <c r="P83" i="4"/>
  <c r="O83" i="4"/>
  <c r="N83" i="4"/>
  <c r="M83" i="4"/>
  <c r="K83" i="4"/>
  <c r="I83" i="4"/>
  <c r="G83" i="4"/>
  <c r="E83" i="4"/>
  <c r="P82" i="4"/>
  <c r="O82" i="4"/>
  <c r="N82" i="4"/>
  <c r="M82" i="4"/>
  <c r="L82" i="4"/>
  <c r="K82" i="4"/>
  <c r="J82" i="4"/>
  <c r="H82" i="4"/>
  <c r="F82" i="4"/>
  <c r="D82" i="4"/>
  <c r="P81" i="4"/>
  <c r="O81" i="4"/>
  <c r="N81" i="4"/>
  <c r="M81" i="4"/>
  <c r="L81" i="4"/>
  <c r="K81" i="4"/>
  <c r="J81" i="4"/>
  <c r="I81" i="4"/>
  <c r="H81" i="4"/>
  <c r="G81" i="4"/>
  <c r="E81" i="4"/>
  <c r="H78" i="4"/>
  <c r="A67" i="4"/>
  <c r="I93" i="4" s="1"/>
  <c r="H58" i="4"/>
  <c r="B56" i="4"/>
  <c r="A46" i="4"/>
  <c r="H37" i="4"/>
  <c r="O93" i="4" s="1"/>
  <c r="B35" i="4"/>
  <c r="B31" i="4"/>
  <c r="B30" i="4"/>
  <c r="E29" i="4"/>
  <c r="D29" i="4"/>
  <c r="B24" i="4"/>
  <c r="B23" i="4"/>
  <c r="E22" i="4"/>
  <c r="D22" i="4"/>
  <c r="D17" i="4"/>
  <c r="B17" i="4"/>
  <c r="E16" i="4"/>
  <c r="B16" i="4"/>
  <c r="E15" i="4"/>
  <c r="D15" i="4"/>
  <c r="H10" i="4"/>
  <c r="F10" i="4"/>
  <c r="E10" i="4"/>
  <c r="F9" i="4"/>
  <c r="E9" i="4"/>
  <c r="E24" i="4"/>
  <c r="F7" i="4"/>
  <c r="E7" i="4"/>
  <c r="E17" i="4" s="1"/>
  <c r="F6" i="4"/>
  <c r="E23" i="4" s="1"/>
  <c r="E6" i="4"/>
  <c r="D16" i="4" s="1"/>
  <c r="H7" i="3"/>
  <c r="F7" i="3"/>
  <c r="F10" i="3"/>
  <c r="F9" i="3"/>
  <c r="F6" i="3"/>
  <c r="E10" i="3"/>
  <c r="E9" i="3"/>
  <c r="D17" i="3" s="1"/>
  <c r="E7" i="3"/>
  <c r="E17" i="3" s="1"/>
  <c r="E6" i="3"/>
  <c r="E16" i="3" s="1"/>
  <c r="D31" i="4" l="1"/>
  <c r="D31" i="6"/>
  <c r="E23" i="6"/>
  <c r="D17" i="6"/>
  <c r="E16" i="6"/>
  <c r="E31" i="6"/>
  <c r="B39" i="6" s="1"/>
  <c r="E30" i="6"/>
  <c r="E24" i="6"/>
  <c r="E31" i="5"/>
  <c r="B39" i="5" s="1"/>
  <c r="E17" i="5"/>
  <c r="D16" i="5"/>
  <c r="D24" i="5"/>
  <c r="E24" i="5"/>
  <c r="D23" i="5"/>
  <c r="E23" i="5"/>
  <c r="P89" i="5"/>
  <c r="O88" i="5"/>
  <c r="P87" i="5"/>
  <c r="N87" i="5"/>
  <c r="P86" i="5"/>
  <c r="N86" i="5"/>
  <c r="L86" i="5"/>
  <c r="O85" i="5"/>
  <c r="M85" i="5"/>
  <c r="K85" i="5"/>
  <c r="L84" i="5"/>
  <c r="J84" i="5"/>
  <c r="I83" i="5"/>
  <c r="G83" i="5"/>
  <c r="H82" i="5"/>
  <c r="F82" i="5"/>
  <c r="E81" i="5"/>
  <c r="O89" i="5"/>
  <c r="P88" i="5"/>
  <c r="N88" i="5"/>
  <c r="O87" i="5"/>
  <c r="M87" i="5"/>
  <c r="O86" i="5"/>
  <c r="M86" i="5"/>
  <c r="K86" i="5"/>
  <c r="P85" i="5"/>
  <c r="N85" i="5"/>
  <c r="L85" i="5"/>
  <c r="J85" i="5"/>
  <c r="P93" i="5"/>
  <c r="N93" i="5"/>
  <c r="L93" i="5"/>
  <c r="O92" i="5"/>
  <c r="M92" i="5"/>
  <c r="K92" i="5"/>
  <c r="P91" i="5"/>
  <c r="N91" i="5"/>
  <c r="L91" i="5"/>
  <c r="J91" i="5"/>
  <c r="O90" i="5"/>
  <c r="M90" i="5"/>
  <c r="K90" i="5"/>
  <c r="I90" i="5"/>
  <c r="N89" i="5"/>
  <c r="L89" i="5"/>
  <c r="J89" i="5"/>
  <c r="M88" i="5"/>
  <c r="K88" i="5"/>
  <c r="I88" i="5"/>
  <c r="L87" i="5"/>
  <c r="J87" i="5"/>
  <c r="H87" i="5"/>
  <c r="J86" i="5"/>
  <c r="H86" i="5"/>
  <c r="I85" i="5"/>
  <c r="G85" i="5"/>
  <c r="H84" i="5"/>
  <c r="F84" i="5"/>
  <c r="E83" i="5"/>
  <c r="O93" i="5"/>
  <c r="M93" i="5"/>
  <c r="K93" i="5"/>
  <c r="P92" i="5"/>
  <c r="N92" i="5"/>
  <c r="L92" i="5"/>
  <c r="J92" i="5"/>
  <c r="O91" i="5"/>
  <c r="M91" i="5"/>
  <c r="K91" i="5"/>
  <c r="P90" i="5"/>
  <c r="N90" i="5"/>
  <c r="L90" i="5"/>
  <c r="J90" i="5"/>
  <c r="M89" i="5"/>
  <c r="K89" i="5"/>
  <c r="I89" i="5"/>
  <c r="L88" i="5"/>
  <c r="J88" i="5"/>
  <c r="H88" i="5"/>
  <c r="K87" i="5"/>
  <c r="I87" i="5"/>
  <c r="G87" i="5"/>
  <c r="I86" i="5"/>
  <c r="G86" i="5"/>
  <c r="D81" i="5"/>
  <c r="G82" i="5"/>
  <c r="F83" i="5"/>
  <c r="J83" i="5"/>
  <c r="I84" i="5"/>
  <c r="M84" i="5"/>
  <c r="F85" i="5"/>
  <c r="E82" i="5"/>
  <c r="H83" i="5"/>
  <c r="G84" i="5"/>
  <c r="K84" i="5"/>
  <c r="H85" i="5"/>
  <c r="E16" i="5"/>
  <c r="D17" i="5"/>
  <c r="D30" i="5"/>
  <c r="G14" i="5"/>
  <c r="D31" i="5"/>
  <c r="E30" i="5"/>
  <c r="E30" i="4"/>
  <c r="D23" i="4"/>
  <c r="D24" i="4"/>
  <c r="E24" i="3"/>
  <c r="G14" i="4"/>
  <c r="B60" i="4"/>
  <c r="L86" i="4"/>
  <c r="N86" i="4"/>
  <c r="P86" i="4"/>
  <c r="D87" i="4"/>
  <c r="F87" i="4"/>
  <c r="H87" i="4"/>
  <c r="J87" i="4"/>
  <c r="L87" i="4"/>
  <c r="N87" i="4"/>
  <c r="P87" i="4"/>
  <c r="E88" i="4"/>
  <c r="G88" i="4"/>
  <c r="I88" i="4"/>
  <c r="K88" i="4"/>
  <c r="M88" i="4"/>
  <c r="O88" i="4"/>
  <c r="D89" i="4"/>
  <c r="F89" i="4"/>
  <c r="H89" i="4"/>
  <c r="J89" i="4"/>
  <c r="L89" i="4"/>
  <c r="N89" i="4"/>
  <c r="P89" i="4"/>
  <c r="E90" i="4"/>
  <c r="G90" i="4"/>
  <c r="I90" i="4"/>
  <c r="K90" i="4"/>
  <c r="M90" i="4"/>
  <c r="O90" i="4"/>
  <c r="D91" i="4"/>
  <c r="F91" i="4"/>
  <c r="H91" i="4"/>
  <c r="J91" i="4"/>
  <c r="L91" i="4"/>
  <c r="N91" i="4"/>
  <c r="P91" i="4"/>
  <c r="E92" i="4"/>
  <c r="G92" i="4"/>
  <c r="I92" i="4"/>
  <c r="K92" i="4"/>
  <c r="M92" i="4"/>
  <c r="O92" i="4"/>
  <c r="D93" i="4"/>
  <c r="F93" i="4"/>
  <c r="H93" i="4"/>
  <c r="J93" i="4"/>
  <c r="L93" i="4"/>
  <c r="N93" i="4"/>
  <c r="P93" i="4"/>
  <c r="D81" i="4"/>
  <c r="F81" i="4"/>
  <c r="E82" i="4"/>
  <c r="G82" i="4"/>
  <c r="I82" i="4"/>
  <c r="D83" i="4"/>
  <c r="F83" i="4"/>
  <c r="H83" i="4"/>
  <c r="J83" i="4"/>
  <c r="L83" i="4"/>
  <c r="E84" i="4"/>
  <c r="G84" i="4"/>
  <c r="I84" i="4"/>
  <c r="K84" i="4"/>
  <c r="M84" i="4"/>
  <c r="D85" i="4"/>
  <c r="F85" i="4"/>
  <c r="H85" i="4"/>
  <c r="J85" i="4"/>
  <c r="L85" i="4"/>
  <c r="N85" i="4"/>
  <c r="P85" i="4"/>
  <c r="E86" i="4"/>
  <c r="G86" i="4"/>
  <c r="I86" i="4"/>
  <c r="K86" i="4"/>
  <c r="M86" i="4"/>
  <c r="O86" i="4"/>
  <c r="E87" i="4"/>
  <c r="G87" i="4"/>
  <c r="I87" i="4"/>
  <c r="K87" i="4"/>
  <c r="M87" i="4"/>
  <c r="O87" i="4"/>
  <c r="D88" i="4"/>
  <c r="F88" i="4"/>
  <c r="H88" i="4"/>
  <c r="J88" i="4"/>
  <c r="L88" i="4"/>
  <c r="N88" i="4"/>
  <c r="P88" i="4"/>
  <c r="E89" i="4"/>
  <c r="G89" i="4"/>
  <c r="I89" i="4"/>
  <c r="K89" i="4"/>
  <c r="M89" i="4"/>
  <c r="O89" i="4"/>
  <c r="D90" i="4"/>
  <c r="F90" i="4"/>
  <c r="H90" i="4"/>
  <c r="J90" i="4"/>
  <c r="L90" i="4"/>
  <c r="N90" i="4"/>
  <c r="P90" i="4"/>
  <c r="E91" i="4"/>
  <c r="G91" i="4"/>
  <c r="I91" i="4"/>
  <c r="K91" i="4"/>
  <c r="M91" i="4"/>
  <c r="O91" i="4"/>
  <c r="D92" i="4"/>
  <c r="F92" i="4"/>
  <c r="H92" i="4"/>
  <c r="J92" i="4"/>
  <c r="L92" i="4"/>
  <c r="N92" i="4"/>
  <c r="P92" i="4"/>
  <c r="E93" i="4"/>
  <c r="G93" i="4"/>
  <c r="K93" i="4"/>
  <c r="M93" i="4"/>
  <c r="H9" i="3"/>
  <c r="D31" i="3" s="1"/>
  <c r="G14" i="3"/>
  <c r="D23" i="3"/>
  <c r="D24" i="3"/>
  <c r="D16" i="3"/>
  <c r="E23" i="3"/>
  <c r="A87" i="3"/>
  <c r="H78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E22" i="3"/>
  <c r="A67" i="3"/>
  <c r="B30" i="3"/>
  <c r="H58" i="3"/>
  <c r="E56" i="1"/>
  <c r="I4" i="1"/>
  <c r="G26" i="1"/>
  <c r="G19" i="1"/>
  <c r="G4" i="1"/>
  <c r="F4" i="1"/>
  <c r="G7" i="1"/>
  <c r="F7" i="1"/>
  <c r="G10" i="1"/>
  <c r="F10" i="1"/>
  <c r="F26" i="1"/>
  <c r="F19" i="1"/>
  <c r="B23" i="3"/>
  <c r="K7" i="2"/>
  <c r="K9" i="2" s="1"/>
  <c r="H7" i="2"/>
  <c r="B60" i="6" l="1"/>
  <c r="G30" i="6"/>
  <c r="G30" i="5"/>
  <c r="B60" i="5"/>
  <c r="B39" i="4"/>
  <c r="J93" i="3"/>
  <c r="I93" i="3"/>
  <c r="E93" i="3"/>
  <c r="F92" i="3"/>
  <c r="G91" i="3"/>
  <c r="D90" i="3"/>
  <c r="E89" i="3"/>
  <c r="D91" i="3"/>
  <c r="E90" i="3"/>
  <c r="F89" i="3"/>
  <c r="H93" i="3"/>
  <c r="E92" i="3"/>
  <c r="F91" i="3"/>
  <c r="G90" i="3"/>
  <c r="D89" i="3"/>
  <c r="F93" i="3"/>
  <c r="G92" i="3"/>
  <c r="H91" i="3"/>
  <c r="D93" i="3"/>
  <c r="I92" i="3"/>
  <c r="G93" i="3"/>
  <c r="H92" i="3"/>
  <c r="D92" i="3"/>
  <c r="E91" i="3"/>
  <c r="F90" i="3"/>
  <c r="D88" i="3"/>
  <c r="B17" i="3"/>
  <c r="B24" i="3"/>
  <c r="B35" i="3"/>
  <c r="E15" i="3"/>
  <c r="B31" i="3"/>
  <c r="E29" i="3"/>
  <c r="B56" i="3"/>
  <c r="D22" i="3"/>
  <c r="D29" i="3"/>
  <c r="A46" i="3"/>
  <c r="D15" i="3"/>
  <c r="H37" i="3"/>
  <c r="B16" i="3"/>
  <c r="K82" i="3" l="1"/>
  <c r="M82" i="3"/>
  <c r="O83" i="3"/>
  <c r="I81" i="3"/>
  <c r="K81" i="3"/>
  <c r="J82" i="3"/>
  <c r="L82" i="3"/>
  <c r="N83" i="3"/>
  <c r="H81" i="3"/>
  <c r="J81" i="3"/>
  <c r="L81" i="3"/>
  <c r="N82" i="3"/>
  <c r="O82" i="3"/>
  <c r="P83" i="3"/>
  <c r="M81" i="3"/>
  <c r="O81" i="3"/>
  <c r="P82" i="3"/>
  <c r="N81" i="3"/>
  <c r="P81" i="3"/>
  <c r="D82" i="3"/>
  <c r="E83" i="3"/>
  <c r="G81" i="3"/>
  <c r="L93" i="3"/>
  <c r="I90" i="3"/>
  <c r="E88" i="3"/>
  <c r="H89" i="3"/>
  <c r="F88" i="3"/>
  <c r="J92" i="3"/>
  <c r="K92" i="3"/>
  <c r="D84" i="3"/>
  <c r="F85" i="3"/>
  <c r="F87" i="3"/>
  <c r="D83" i="3"/>
  <c r="E85" i="3"/>
  <c r="G86" i="3"/>
  <c r="I89" i="3"/>
  <c r="G89" i="3"/>
  <c r="J90" i="3"/>
  <c r="I91" i="3"/>
  <c r="K93" i="3"/>
  <c r="D87" i="3"/>
  <c r="J91" i="3"/>
  <c r="D86" i="3"/>
  <c r="H90" i="3"/>
  <c r="G88" i="3"/>
  <c r="D85" i="3"/>
  <c r="F86" i="3"/>
  <c r="H88" i="3"/>
  <c r="E84" i="3"/>
  <c r="E86" i="3"/>
  <c r="G87" i="3"/>
  <c r="E87" i="3"/>
  <c r="M93" i="3"/>
  <c r="G82" i="3"/>
  <c r="I82" i="3"/>
  <c r="G83" i="3"/>
  <c r="I83" i="3"/>
  <c r="K83" i="3"/>
  <c r="M83" i="3"/>
  <c r="I84" i="3"/>
  <c r="K84" i="3"/>
  <c r="M84" i="3"/>
  <c r="O84" i="3"/>
  <c r="K85" i="3"/>
  <c r="M85" i="3"/>
  <c r="O85" i="3"/>
  <c r="L86" i="3"/>
  <c r="N86" i="3"/>
  <c r="P86" i="3"/>
  <c r="N87" i="3"/>
  <c r="P87" i="3"/>
  <c r="N88" i="3"/>
  <c r="P88" i="3"/>
  <c r="O89" i="3"/>
  <c r="E81" i="3"/>
  <c r="F82" i="3"/>
  <c r="H82" i="3"/>
  <c r="H83" i="3"/>
  <c r="J83" i="3"/>
  <c r="L83" i="3"/>
  <c r="J84" i="3"/>
  <c r="L84" i="3"/>
  <c r="N84" i="3"/>
  <c r="P84" i="3"/>
  <c r="J85" i="3"/>
  <c r="L85" i="3"/>
  <c r="N85" i="3"/>
  <c r="P85" i="3"/>
  <c r="K86" i="3"/>
  <c r="M86" i="3"/>
  <c r="O86" i="3"/>
  <c r="M87" i="3"/>
  <c r="O87" i="3"/>
  <c r="O88" i="3"/>
  <c r="P89" i="3"/>
  <c r="F81" i="3"/>
  <c r="L92" i="3"/>
  <c r="D81" i="3"/>
  <c r="E82" i="3"/>
  <c r="F83" i="3"/>
  <c r="G84" i="3"/>
  <c r="H85" i="3"/>
  <c r="H86" i="3"/>
  <c r="J86" i="3"/>
  <c r="I87" i="3"/>
  <c r="K87" i="3"/>
  <c r="J88" i="3"/>
  <c r="L88" i="3"/>
  <c r="J89" i="3"/>
  <c r="L89" i="3"/>
  <c r="N89" i="3"/>
  <c r="L90" i="3"/>
  <c r="N90" i="3"/>
  <c r="P90" i="3"/>
  <c r="M91" i="3"/>
  <c r="O91" i="3"/>
  <c r="M92" i="3"/>
  <c r="O92" i="3"/>
  <c r="O93" i="3"/>
  <c r="F84" i="3"/>
  <c r="H84" i="3"/>
  <c r="G85" i="3"/>
  <c r="I85" i="3"/>
  <c r="I86" i="3"/>
  <c r="H87" i="3"/>
  <c r="J87" i="3"/>
  <c r="L87" i="3"/>
  <c r="I88" i="3"/>
  <c r="K88" i="3"/>
  <c r="M88" i="3"/>
  <c r="K89" i="3"/>
  <c r="M89" i="3"/>
  <c r="K90" i="3"/>
  <c r="M90" i="3"/>
  <c r="O90" i="3"/>
  <c r="L91" i="3"/>
  <c r="N91" i="3"/>
  <c r="P91" i="3"/>
  <c r="N92" i="3"/>
  <c r="P92" i="3"/>
  <c r="P93" i="3"/>
  <c r="N93" i="3"/>
  <c r="K91" i="3"/>
  <c r="F50" i="1"/>
  <c r="F49" i="1"/>
  <c r="F47" i="1"/>
  <c r="F46" i="1"/>
  <c r="F44" i="1"/>
  <c r="F43" i="1"/>
  <c r="F41" i="1"/>
  <c r="F40" i="1"/>
  <c r="F38" i="1"/>
  <c r="F37" i="1"/>
  <c r="F35" i="1"/>
  <c r="F34" i="1"/>
  <c r="F32" i="1"/>
  <c r="F31" i="1"/>
  <c r="F29" i="1"/>
  <c r="F28" i="1"/>
  <c r="F25" i="1"/>
  <c r="F23" i="1"/>
  <c r="F22" i="1"/>
  <c r="F20" i="1"/>
  <c r="F17" i="1"/>
  <c r="F16" i="1"/>
  <c r="F14" i="1"/>
  <c r="F13" i="1"/>
  <c r="F11" i="1"/>
  <c r="F8" i="1"/>
  <c r="F5" i="1"/>
  <c r="G22" i="1"/>
  <c r="I49" i="1"/>
  <c r="I47" i="1"/>
  <c r="I43" i="1"/>
  <c r="I40" i="1"/>
  <c r="I37" i="1"/>
  <c r="I35" i="1"/>
  <c r="I34" i="1"/>
  <c r="I31" i="1"/>
  <c r="I28" i="1"/>
  <c r="I26" i="1"/>
  <c r="I23" i="1"/>
  <c r="I19" i="1"/>
  <c r="I17" i="1"/>
  <c r="I16" i="1"/>
  <c r="I13" i="1"/>
  <c r="I11" i="1"/>
  <c r="I10" i="1"/>
  <c r="I8" i="1"/>
  <c r="I5" i="1"/>
  <c r="L1" i="1"/>
  <c r="G50" i="1"/>
  <c r="I50" i="1" s="1"/>
  <c r="G49" i="1"/>
  <c r="G47" i="1"/>
  <c r="G46" i="1"/>
  <c r="I46" i="1" s="1"/>
  <c r="G44" i="1"/>
  <c r="I44" i="1" s="1"/>
  <c r="G43" i="1"/>
  <c r="G41" i="1"/>
  <c r="I41" i="1" s="1"/>
  <c r="G40" i="1"/>
  <c r="G38" i="1"/>
  <c r="I38" i="1" s="1"/>
  <c r="G37" i="1"/>
  <c r="G35" i="1"/>
  <c r="G34" i="1"/>
  <c r="G32" i="1"/>
  <c r="G31" i="1"/>
  <c r="G29" i="1"/>
  <c r="I29" i="1" s="1"/>
  <c r="G28" i="1"/>
  <c r="G25" i="1"/>
  <c r="I25" i="1" s="1"/>
  <c r="G23" i="1"/>
  <c r="I22" i="1"/>
  <c r="G20" i="1"/>
  <c r="I20" i="1" s="1"/>
  <c r="G17" i="1"/>
  <c r="G16" i="1"/>
  <c r="G14" i="1"/>
  <c r="I14" i="1" s="1"/>
  <c r="G13" i="1"/>
  <c r="G11" i="1"/>
  <c r="G8" i="1"/>
  <c r="I7" i="1"/>
  <c r="G5" i="1"/>
  <c r="I32" i="1" l="1"/>
  <c r="E55" i="1" s="1"/>
  <c r="E58" i="1" s="1"/>
  <c r="E57" i="1" l="1"/>
  <c r="L2" i="1"/>
  <c r="H10" i="3" l="1"/>
  <c r="E31" i="3" l="1"/>
  <c r="B39" i="3" s="1"/>
  <c r="D30" i="3"/>
  <c r="B6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Sambhav</author>
  </authors>
  <commentList>
    <comment ref="I6" authorId="0" shapeId="0" xr:uid="{F3ABDE99-D676-864A-AD5B-866E72DBAAC1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7" authorId="0" shapeId="0" xr:uid="{1F5E33CB-3D55-EE40-8B2F-8BF1CD3C44B1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9" authorId="0" shapeId="0" xr:uid="{E1EB6039-40BC-5B4C-8480-C8C64515B2B0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10" authorId="0" shapeId="0" xr:uid="{4969AD94-DB50-B045-9EB1-80FEB7F40941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Sambhav</author>
  </authors>
  <commentList>
    <comment ref="I6" authorId="0" shapeId="0" xr:uid="{E4212636-8308-744D-86E6-9B0401278947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7" authorId="0" shapeId="0" xr:uid="{7499F257-EF50-474D-9468-371278C3326D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9" authorId="0" shapeId="0" xr:uid="{CA13F479-C5EB-D241-87CD-D51105A074BD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10" authorId="0" shapeId="0" xr:uid="{298E436B-DBA0-BA4F-A50E-CF3056CF7DB3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Sambhav</author>
  </authors>
  <commentList>
    <comment ref="J4" authorId="0" shapeId="0" xr:uid="{ACBCB970-24CC-4034-9694-01675CF3993C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5" authorId="0" shapeId="0" xr:uid="{E9874F18-57ED-444F-A2DA-9899BC901ECA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7" authorId="0" shapeId="0" xr:uid="{622BF98D-45CD-4C22-AF1A-4D00567A8FA7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8" authorId="0" shapeId="0" xr:uid="{6B21C183-07A7-4979-9213-89BBB730361D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10" authorId="0" shapeId="0" xr:uid="{175F7CFF-825E-4556-9B30-0C8E4A3A02DF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11" authorId="0" shapeId="0" xr:uid="{56AF4EDF-3720-4119-9769-D8C2DF27D606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13" authorId="0" shapeId="0" xr:uid="{9DBFFBCE-75DE-4C28-AA36-D56178EB668E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14" authorId="0" shapeId="0" xr:uid="{040211EE-4085-414C-9CDA-981866037537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16" authorId="0" shapeId="0" xr:uid="{5C1D3706-178A-45F3-AE44-EDF2A570381E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17" authorId="0" shapeId="0" xr:uid="{563B3FDA-5881-4418-996C-03EE0E5F66AD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19" authorId="0" shapeId="0" xr:uid="{CD383BC5-5B31-4973-B594-636E00DC9ABF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20" authorId="0" shapeId="0" xr:uid="{A224BE0E-856E-48BD-A4AA-E6B4CB121ECC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22" authorId="0" shapeId="0" xr:uid="{8DE8827A-ED7F-439C-91F0-ADDC1E8C8709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23" authorId="0" shapeId="0" xr:uid="{978E6133-E53E-4560-93E0-309712EE0CBB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25" authorId="0" shapeId="0" xr:uid="{AC22C3DF-D9BD-44EC-9BC2-18B4C9EAF8F9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26" authorId="0" shapeId="0" xr:uid="{99BD6F4E-CF1C-493E-9792-98DE9E17DEFC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28" authorId="0" shapeId="0" xr:uid="{7AD91A31-7921-4048-860D-AFC7742CE4D5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29" authorId="0" shapeId="0" xr:uid="{CE628111-FA99-4D57-A9FC-F88C20DE47CF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31" authorId="0" shapeId="0" xr:uid="{650AC255-9ED4-4860-9F34-9B2288A4970E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32" authorId="0" shapeId="0" xr:uid="{AAC7226D-C77C-4374-9A3F-A33BB423B7EB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34" authorId="0" shapeId="0" xr:uid="{FF191904-6D0B-4030-A0EF-F5371F98000C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35" authorId="0" shapeId="0" xr:uid="{F735887C-4746-4A89-9CBC-D65ABF528EA7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37" authorId="0" shapeId="0" xr:uid="{7F187CA4-13D6-48B0-9DA5-A0B3B43D1DA4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38" authorId="0" shapeId="0" xr:uid="{FC583CEE-0C1F-476A-8687-AE0C23772926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40" authorId="0" shapeId="0" xr:uid="{ADB02EEF-2260-434E-B6D6-43AB74684510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41" authorId="0" shapeId="0" xr:uid="{AB2C5D16-F887-41CE-A97B-41285A871BD9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43" authorId="0" shapeId="0" xr:uid="{D03081B8-C0D0-4FA8-A26E-7969D4643FA2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44" authorId="0" shapeId="0" xr:uid="{C60187AA-B8A1-4E99-87D5-7A18A96BE2CC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46" authorId="0" shapeId="0" xr:uid="{605F49F5-9E9C-43DF-84BE-E88F42039353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47" authorId="0" shapeId="0" xr:uid="{B91FDDAB-489C-4B1E-9143-8EA91C620A50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49" authorId="0" shapeId="0" xr:uid="{71DCDE8C-C261-4675-AE35-F43CF6FBE8C2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  <comment ref="J50" authorId="0" shapeId="0" xr:uid="{2D2C0F61-592D-49A9-88AE-3AE2B41FDF43}">
      <text>
        <r>
          <rPr>
            <b/>
            <sz val="9"/>
            <color indexed="81"/>
            <rFont val="Tahoma"/>
            <family val="2"/>
          </rPr>
          <t>Sambhav:</t>
        </r>
        <r>
          <rPr>
            <sz val="9"/>
            <color indexed="81"/>
            <rFont val="Tahoma"/>
            <family val="2"/>
          </rPr>
          <t xml:space="preserve">
Select Win or Lose From Drop Down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Sambhav</author>
  </authors>
  <commentList>
    <comment ref="I6" authorId="0" shapeId="0" xr:uid="{BB152492-679F-43E6-9232-BB9F60614D64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7" authorId="0" shapeId="0" xr:uid="{43952B4E-B2BA-47E6-AE41-375F85BF068D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9" authorId="0" shapeId="0" xr:uid="{CC3FA592-5A2C-46E3-8F72-620591A49C73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10" authorId="0" shapeId="0" xr:uid="{677E7EFC-B5EC-48AE-B037-548C0118FBF9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Sambhav</author>
  </authors>
  <commentList>
    <comment ref="I6" authorId="0" shapeId="0" xr:uid="{F98F8551-D700-7847-8711-EFE684D23CE7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7" authorId="0" shapeId="0" xr:uid="{A6E103C1-2CE2-FD48-BD1C-8EAE250DABA4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9" authorId="0" shapeId="0" xr:uid="{14B4640A-41EB-BB40-AF99-07ED1CF80FC2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  <comment ref="I10" authorId="0" shapeId="0" xr:uid="{260F525C-F62E-D94E-9819-561A9E79DB3D}">
      <text>
        <r>
          <rPr>
            <b/>
            <sz val="9"/>
            <color rgb="FF000000"/>
            <rFont val="Tahoma"/>
            <family val="2"/>
          </rPr>
          <t>Sambhav: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Select Win or Lose From Drop Down 
</t>
        </r>
      </text>
    </comment>
  </commentList>
</comments>
</file>

<file path=xl/sharedStrings.xml><?xml version="1.0" encoding="utf-8"?>
<sst xmlns="http://schemas.openxmlformats.org/spreadsheetml/2006/main" count="250" uniqueCount="92">
  <si>
    <t>Los Angeles Rams</t>
  </si>
  <si>
    <t>Spread</t>
  </si>
  <si>
    <t>Win</t>
  </si>
  <si>
    <t>New York Jets</t>
  </si>
  <si>
    <t>Atlanta Falcons</t>
  </si>
  <si>
    <t xml:space="preserve">Denver Broncos </t>
  </si>
  <si>
    <t>Pittsburg Steelers</t>
  </si>
  <si>
    <t>Detroit Lions</t>
  </si>
  <si>
    <t>Minnesota Vikings</t>
  </si>
  <si>
    <t>Green Bay Packers</t>
  </si>
  <si>
    <t>Cincinnati Bengals</t>
  </si>
  <si>
    <t>Miami Dolphins</t>
  </si>
  <si>
    <t>Tampa Bay Buccaneers</t>
  </si>
  <si>
    <t>New England Patriots</t>
  </si>
  <si>
    <t>Houston Texans</t>
  </si>
  <si>
    <t>New Orleans Saints</t>
  </si>
  <si>
    <t>Washington Football Team</t>
  </si>
  <si>
    <t>Carolina Panthers</t>
  </si>
  <si>
    <t>Tennessee Titans</t>
  </si>
  <si>
    <t>Jacksonville Jaguars</t>
  </si>
  <si>
    <t>Chicago Bears</t>
  </si>
  <si>
    <t>Las Vegas Raiders</t>
  </si>
  <si>
    <t>Cleveland Browns</t>
  </si>
  <si>
    <t>Los Angeles Chargers</t>
  </si>
  <si>
    <t>New York Giants</t>
  </si>
  <si>
    <t>Dallas Cowboys</t>
  </si>
  <si>
    <t>San Francisco 49ers</t>
  </si>
  <si>
    <t>Arizona Cardinals</t>
  </si>
  <si>
    <t>Buffalo Bills</t>
  </si>
  <si>
    <t>Kansas City Chiefs</t>
  </si>
  <si>
    <t>Indianapolis Colts</t>
  </si>
  <si>
    <t>Baltimore Ravens</t>
  </si>
  <si>
    <t xml:space="preserve">Return </t>
  </si>
  <si>
    <t>Win/Lose</t>
  </si>
  <si>
    <t>Winning Bet</t>
  </si>
  <si>
    <t>No Bet</t>
  </si>
  <si>
    <t>Losing Bet</t>
  </si>
  <si>
    <t xml:space="preserve">Cash Return </t>
  </si>
  <si>
    <t xml:space="preserve">Percentage Return </t>
  </si>
  <si>
    <t>Team</t>
  </si>
  <si>
    <t>Philadelphia Eagels</t>
  </si>
  <si>
    <t>+120</t>
  </si>
  <si>
    <t>+125</t>
  </si>
  <si>
    <t>+135</t>
  </si>
  <si>
    <t>+325</t>
  </si>
  <si>
    <t>Payout</t>
  </si>
  <si>
    <t>Implied Odds</t>
  </si>
  <si>
    <t>P</t>
  </si>
  <si>
    <t>Date</t>
  </si>
  <si>
    <t>+140</t>
  </si>
  <si>
    <t>+170</t>
  </si>
  <si>
    <t>+200</t>
  </si>
  <si>
    <t>+115</t>
  </si>
  <si>
    <t>+265</t>
  </si>
  <si>
    <t>+180</t>
  </si>
  <si>
    <t>+260</t>
  </si>
  <si>
    <t>Net Payout</t>
  </si>
  <si>
    <t>Total Wager</t>
  </si>
  <si>
    <t>Wager</t>
  </si>
  <si>
    <t>Summary</t>
  </si>
  <si>
    <t>NFL</t>
  </si>
  <si>
    <t>NFL WEEK 5 BETTING SHEET</t>
  </si>
  <si>
    <t>AFC</t>
  </si>
  <si>
    <t>NFC</t>
  </si>
  <si>
    <t>AFC EAST</t>
  </si>
  <si>
    <t>AFC West</t>
  </si>
  <si>
    <t>AFC North</t>
  </si>
  <si>
    <t>AFC South</t>
  </si>
  <si>
    <t>NFC South</t>
  </si>
  <si>
    <t>NFC North</t>
  </si>
  <si>
    <t>NFC West</t>
  </si>
  <si>
    <t>NFC East</t>
  </si>
  <si>
    <t>Seattle Seahawks</t>
  </si>
  <si>
    <t>Implied Odds Calculator</t>
  </si>
  <si>
    <t>Return Calculator</t>
  </si>
  <si>
    <t>Payouts</t>
  </si>
  <si>
    <t xml:space="preserve"> </t>
  </si>
  <si>
    <t>Net Payouts</t>
  </si>
  <si>
    <t>Underdog</t>
  </si>
  <si>
    <t>CrossCheck</t>
  </si>
  <si>
    <t>76ers</t>
  </si>
  <si>
    <t>celtics</t>
  </si>
  <si>
    <t>nuggest</t>
  </si>
  <si>
    <t>suns</t>
  </si>
  <si>
    <t>Probabilities</t>
  </si>
  <si>
    <t>lakers</t>
  </si>
  <si>
    <t>warriors</t>
  </si>
  <si>
    <t>nuggets</t>
  </si>
  <si>
    <t>f1</t>
  </si>
  <si>
    <t>u1</t>
  </si>
  <si>
    <t>u2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</si>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</sst>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0.00000000000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B050"/>
      <name val="Wingdings 2"/>
      <family val="1"/>
      <charset val="2"/>
    </font>
    <font>
      <sz val="11"/>
      <color theme="0" tint="-4.9989318521683403E-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9" fillId="2" borderId="5" xfId="0" applyNumberFormat="1" applyFont="1" applyFill="1" applyBorder="1" applyAlignment="1">
      <alignment horizontal="center"/>
    </xf>
    <xf numFmtId="0" fontId="0" fillId="2" borderId="5" xfId="0" applyFill="1" applyBorder="1"/>
    <xf numFmtId="0" fontId="3" fillId="2" borderId="5" xfId="0" applyFont="1" applyFill="1" applyBorder="1" applyAlignment="1">
      <alignment horizontal="center"/>
    </xf>
    <xf numFmtId="9" fontId="6" fillId="2" borderId="5" xfId="0" applyNumberFormat="1" applyFon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9" fillId="2" borderId="8" xfId="0" applyNumberFormat="1" applyFont="1" applyFill="1" applyBorder="1" applyAlignment="1">
      <alignment horizontal="center"/>
    </xf>
    <xf numFmtId="0" fontId="0" fillId="2" borderId="8" xfId="0" applyFill="1" applyBorder="1"/>
    <xf numFmtId="0" fontId="3" fillId="2" borderId="8" xfId="0" quotePrefix="1" applyFont="1" applyFill="1" applyBorder="1" applyAlignment="1">
      <alignment horizontal="center"/>
    </xf>
    <xf numFmtId="9" fontId="6" fillId="2" borderId="8" xfId="0" applyNumberFormat="1" applyFon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17" xfId="0" applyFont="1" applyBorder="1"/>
    <xf numFmtId="44" fontId="2" fillId="0" borderId="18" xfId="1" applyFont="1" applyBorder="1" applyAlignment="1">
      <alignment horizontal="center"/>
    </xf>
    <xf numFmtId="0" fontId="8" fillId="0" borderId="0" xfId="0" applyFont="1"/>
    <xf numFmtId="0" fontId="2" fillId="5" borderId="19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19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/>
    <xf numFmtId="9" fontId="6" fillId="2" borderId="2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44" fontId="0" fillId="0" borderId="0" xfId="0" applyNumberFormat="1" applyBorder="1"/>
    <xf numFmtId="44" fontId="0" fillId="0" borderId="18" xfId="0" applyNumberFormat="1" applyBorder="1"/>
    <xf numFmtId="44" fontId="0" fillId="0" borderId="1" xfId="0" applyNumberFormat="1" applyBorder="1"/>
    <xf numFmtId="44" fontId="0" fillId="0" borderId="3" xfId="0" applyNumberFormat="1" applyBorder="1"/>
    <xf numFmtId="44" fontId="0" fillId="0" borderId="0" xfId="1" applyFont="1" applyFill="1" applyBorder="1"/>
    <xf numFmtId="44" fontId="0" fillId="0" borderId="18" xfId="1" applyFont="1" applyFill="1" applyBorder="1"/>
    <xf numFmtId="44" fontId="0" fillId="0" borderId="1" xfId="1" applyFont="1" applyFill="1" applyBorder="1"/>
    <xf numFmtId="44" fontId="0" fillId="0" borderId="3" xfId="1" applyFont="1" applyFill="1" applyBorder="1"/>
    <xf numFmtId="0" fontId="6" fillId="2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9" fontId="6" fillId="2" borderId="32" xfId="0" quotePrefix="1" applyNumberFormat="1" applyFont="1" applyFill="1" applyBorder="1" applyAlignment="1">
      <alignment horizontal="center"/>
    </xf>
    <xf numFmtId="8" fontId="6" fillId="2" borderId="29" xfId="0" quotePrefix="1" applyNumberFormat="1" applyFont="1" applyFill="1" applyBorder="1" applyAlignment="1">
      <alignment horizontal="center"/>
    </xf>
    <xf numFmtId="8" fontId="6" fillId="2" borderId="30" xfId="0" applyNumberFormat="1" applyFont="1" applyFill="1" applyBorder="1" applyAlignment="1">
      <alignment horizontal="center"/>
    </xf>
    <xf numFmtId="8" fontId="6" fillId="2" borderId="31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44" fontId="10" fillId="2" borderId="0" xfId="0" applyNumberFormat="1" applyFont="1" applyFill="1" applyAlignment="1"/>
    <xf numFmtId="1" fontId="0" fillId="2" borderId="26" xfId="0" applyNumberFormat="1" applyFill="1" applyBorder="1" applyAlignment="1">
      <alignment horizontal="center" vertical="center"/>
    </xf>
    <xf numFmtId="1" fontId="2" fillId="3" borderId="33" xfId="0" applyNumberFormat="1" applyFont="1" applyFill="1" applyBorder="1" applyAlignment="1">
      <alignment horizontal="center"/>
    </xf>
    <xf numFmtId="1" fontId="0" fillId="2" borderId="27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10" xfId="0" applyFont="1" applyFill="1" applyBorder="1"/>
    <xf numFmtId="0" fontId="10" fillId="0" borderId="0" xfId="0" applyFont="1"/>
    <xf numFmtId="0" fontId="7" fillId="2" borderId="0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9" fontId="0" fillId="0" borderId="0" xfId="0" applyNumberFormat="1"/>
    <xf numFmtId="165" fontId="0" fillId="0" borderId="0" xfId="0" applyNumberFormat="1"/>
    <xf numFmtId="0" fontId="2" fillId="6" borderId="0" xfId="0" applyFont="1" applyFill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0" fillId="2" borderId="4" xfId="0" applyNumberFormat="1" applyFill="1" applyBorder="1" applyAlignment="1">
      <alignment horizontal="left" vertical="center"/>
    </xf>
    <xf numFmtId="14" fontId="0" fillId="2" borderId="7" xfId="0" applyNumberFormat="1" applyFill="1" applyBorder="1" applyAlignment="1">
      <alignment horizontal="left" vertical="center"/>
    </xf>
    <xf numFmtId="10" fontId="7" fillId="2" borderId="14" xfId="0" applyNumberFormat="1" applyFont="1" applyFill="1" applyBorder="1" applyAlignment="1">
      <alignment horizontal="center"/>
    </xf>
    <xf numFmtId="10" fontId="7" fillId="2" borderId="16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7" borderId="4" xfId="0" applyFill="1" applyBorder="1"/>
    <xf numFmtId="0" fontId="0" fillId="7" borderId="5" xfId="0" quotePrefix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0" fillId="7" borderId="7" xfId="0" applyFill="1" applyBorder="1"/>
    <xf numFmtId="0" fontId="0" fillId="7" borderId="8" xfId="0" quotePrefix="1" applyFill="1" applyBorder="1" applyAlignment="1">
      <alignment horizontal="center"/>
    </xf>
    <xf numFmtId="0" fontId="6" fillId="7" borderId="8" xfId="0" quotePrefix="1" applyFont="1" applyFill="1" applyBorder="1" applyAlignment="1">
      <alignment horizontal="center"/>
    </xf>
    <xf numFmtId="0" fontId="0" fillId="0" borderId="0" xfId="0" applyFill="1"/>
    <xf numFmtId="0" fontId="2" fillId="0" borderId="43" xfId="0" applyFont="1" applyBorder="1"/>
    <xf numFmtId="0" fontId="0" fillId="0" borderId="44" xfId="0" applyBorder="1"/>
    <xf numFmtId="0" fontId="0" fillId="0" borderId="45" xfId="0" applyBorder="1"/>
    <xf numFmtId="9" fontId="0" fillId="5" borderId="0" xfId="0" applyNumberFormat="1" applyFill="1" applyBorder="1"/>
    <xf numFmtId="9" fontId="0" fillId="5" borderId="18" xfId="0" applyNumberFormat="1" applyFill="1" applyBorder="1"/>
    <xf numFmtId="9" fontId="0" fillId="5" borderId="1" xfId="0" applyNumberFormat="1" applyFill="1" applyBorder="1"/>
    <xf numFmtId="9" fontId="0" fillId="5" borderId="3" xfId="0" applyNumberFormat="1" applyFill="1" applyBorder="1"/>
    <xf numFmtId="8" fontId="0" fillId="0" borderId="0" xfId="0" applyNumberFormat="1"/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19" xfId="0" applyBorder="1"/>
    <xf numFmtId="0" fontId="2" fillId="0" borderId="53" xfId="0" applyFont="1" applyBorder="1"/>
    <xf numFmtId="0" fontId="0" fillId="0" borderId="54" xfId="0" applyBorder="1"/>
    <xf numFmtId="0" fontId="0" fillId="0" borderId="55" xfId="0" applyBorder="1"/>
    <xf numFmtId="9" fontId="0" fillId="5" borderId="50" xfId="0" applyNumberFormat="1" applyFill="1" applyBorder="1"/>
    <xf numFmtId="9" fontId="0" fillId="5" borderId="19" xfId="0" applyNumberFormat="1" applyFill="1" applyBorder="1"/>
    <xf numFmtId="9" fontId="0" fillId="5" borderId="52" xfId="0" applyNumberFormat="1" applyFill="1" applyBorder="1"/>
    <xf numFmtId="44" fontId="2" fillId="0" borderId="42" xfId="0" applyNumberFormat="1" applyFont="1" applyBorder="1"/>
    <xf numFmtId="44" fontId="0" fillId="0" borderId="0" xfId="0" applyNumberFormat="1"/>
    <xf numFmtId="0" fontId="0" fillId="3" borderId="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0" fontId="0" fillId="8" borderId="49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4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9797"/>
      </font>
      <fill>
        <patternFill patternType="solid">
          <bgColor rgb="FFFF9797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9797"/>
      </font>
      <fill>
        <patternFill patternType="solid">
          <bgColor rgb="FFFF9797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9797"/>
      </font>
      <fill>
        <patternFill patternType="solid">
          <bgColor rgb="FFFF9797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9797"/>
      </font>
      <fill>
        <patternFill patternType="solid">
          <bgColor rgb="FFFF9797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15" fmlaLink="$G$6" horiz="1" max="400" noThreeD="1" page="10" val="339"/>
</file>

<file path=xl/ctrlProps/ctrlProp2.xml><?xml version="1.0" encoding="utf-8"?>
<formControlPr xmlns="http://schemas.microsoft.com/office/spreadsheetml/2009/9/main" objectType="Scroll" dx="15" fmlaLink="$G$7" horiz="1" max="400" page="10" val="107"/>
</file>

<file path=xl/ctrlProps/ctrlProp3.xml><?xml version="1.0" encoding="utf-8"?>
<formControlPr xmlns="http://schemas.microsoft.com/office/spreadsheetml/2009/9/main" objectType="Scroll" dx="15" fmlaLink="$G$9" horiz="1" max="400" page="10" val="15"/>
</file>

<file path=xl/ctrlProps/ctrlProp4.xml><?xml version="1.0" encoding="utf-8"?>
<formControlPr xmlns="http://schemas.microsoft.com/office/spreadsheetml/2009/9/main" objectType="Scroll" dx="15" fmlaLink="$G$10" horiz="1" max="400" page="10" val="37"/>
</file>

<file path=xl/ctrlProps/ctrlProp5.xml><?xml version="1.0" encoding="utf-8"?>
<formControlPr xmlns="http://schemas.microsoft.com/office/spreadsheetml/2009/9/main" objectType="Scroll" dx="15" fmlaLink="$G$6" horiz="1" max="400" noThreeD="1" page="10" val="400"/>
</file>

<file path=xl/ctrlProps/ctrlProp6.xml><?xml version="1.0" encoding="utf-8"?>
<formControlPr xmlns="http://schemas.microsoft.com/office/spreadsheetml/2009/9/main" objectType="Scroll" dx="15" fmlaLink="$G$7" horiz="1" max="400" page="10" val="133"/>
</file>

<file path=xl/ctrlProps/ctrlProp7.xml><?xml version="1.0" encoding="utf-8"?>
<formControlPr xmlns="http://schemas.microsoft.com/office/spreadsheetml/2009/9/main" objectType="Scroll" dx="15" fmlaLink="$G$9" horiz="1" max="400" page="10" val="36"/>
</file>

<file path=xl/ctrlProps/ctrlProp8.xml><?xml version="1.0" encoding="utf-8"?>
<formControlPr xmlns="http://schemas.microsoft.com/office/spreadsheetml/2009/9/main" objectType="Scroll" dx="15" fmlaLink="$G$10" horiz="1" max="400" page="10" val="62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180136</xdr:colOff>
          <xdr:row>5</xdr:row>
          <xdr:rowOff>87003</xdr:rowOff>
        </xdr:from>
        <xdr:to>
          <xdr:col>1</xdr:col>
          <xdr:colOff>2713713</xdr:colOff>
          <xdr:row>5</xdr:row>
          <xdr:rowOff>468003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FB0559A9-5804-8043-9583-B6D5A203A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6</xdr:row>
          <xdr:rowOff>83207</xdr:rowOff>
        </xdr:from>
        <xdr:to>
          <xdr:col>1</xdr:col>
          <xdr:colOff>2755900</xdr:colOff>
          <xdr:row>6</xdr:row>
          <xdr:rowOff>464207</xdr:rowOff>
        </xdr:to>
        <xdr:sp macro="" textlink="">
          <xdr:nvSpPr>
            <xdr:cNvPr id="7170" name="Scroll Ba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B5B44E05-D5C1-104F-8848-5A303BC84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8</xdr:row>
          <xdr:rowOff>88900</xdr:rowOff>
        </xdr:from>
        <xdr:to>
          <xdr:col>1</xdr:col>
          <xdr:colOff>2755900</xdr:colOff>
          <xdr:row>8</xdr:row>
          <xdr:rowOff>469900</xdr:rowOff>
        </xdr:to>
        <xdr:sp macro="" textlink="">
          <xdr:nvSpPr>
            <xdr:cNvPr id="7171" name="Scroll Ba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705714F9-28E6-8846-9DDE-A7D85E50E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9</xdr:row>
          <xdr:rowOff>88900</xdr:rowOff>
        </xdr:from>
        <xdr:to>
          <xdr:col>1</xdr:col>
          <xdr:colOff>2755900</xdr:colOff>
          <xdr:row>9</xdr:row>
          <xdr:rowOff>469900</xdr:rowOff>
        </xdr:to>
        <xdr:sp macro="" textlink="">
          <xdr:nvSpPr>
            <xdr:cNvPr id="7172" name="Scroll Ba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BCBEB8DA-0745-7A46-BC16-C824BC4456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180136</xdr:colOff>
          <xdr:row>5</xdr:row>
          <xdr:rowOff>87003</xdr:rowOff>
        </xdr:from>
        <xdr:to>
          <xdr:col>1</xdr:col>
          <xdr:colOff>2713713</xdr:colOff>
          <xdr:row>5</xdr:row>
          <xdr:rowOff>468003</xdr:rowOff>
        </xdr:to>
        <xdr:sp macro="" textlink="">
          <xdr:nvSpPr>
            <xdr:cNvPr id="6150" name="Scroll Bar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7274C428-00FA-A643-8385-9D605DA7F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6</xdr:row>
          <xdr:rowOff>83207</xdr:rowOff>
        </xdr:from>
        <xdr:to>
          <xdr:col>1</xdr:col>
          <xdr:colOff>2755900</xdr:colOff>
          <xdr:row>6</xdr:row>
          <xdr:rowOff>464207</xdr:rowOff>
        </xdr:to>
        <xdr:sp macro="" textlink="">
          <xdr:nvSpPr>
            <xdr:cNvPr id="6151" name="Scroll Bar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C3335AB1-0967-4241-B397-0B6EF93BC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8</xdr:row>
          <xdr:rowOff>88900</xdr:rowOff>
        </xdr:from>
        <xdr:to>
          <xdr:col>1</xdr:col>
          <xdr:colOff>2755900</xdr:colOff>
          <xdr:row>8</xdr:row>
          <xdr:rowOff>469900</xdr:rowOff>
        </xdr:to>
        <xdr:sp macro="" textlink="">
          <xdr:nvSpPr>
            <xdr:cNvPr id="6152" name="Scroll Bar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B299FA8C-5D13-4341-B88F-76A86AED91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9</xdr:row>
          <xdr:rowOff>88900</xdr:rowOff>
        </xdr:from>
        <xdr:to>
          <xdr:col>1</xdr:col>
          <xdr:colOff>2755900</xdr:colOff>
          <xdr:row>9</xdr:row>
          <xdr:rowOff>469900</xdr:rowOff>
        </xdr:to>
        <xdr:sp macro="" textlink="">
          <xdr:nvSpPr>
            <xdr:cNvPr id="6153" name="Scroll Bar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C97DD39F-1C20-294A-A967-70A489858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AF85-3367-4F4A-9917-7959477F47D9}">
  <dimension ref="A4:P94"/>
  <sheetViews>
    <sheetView topLeftCell="A2" zoomScale="87" zoomScaleNormal="55" workbookViewId="0">
      <selection activeCell="H7" sqref="H7"/>
    </sheetView>
  </sheetViews>
  <sheetFormatPr baseColWidth="10" defaultColWidth="8.83203125" defaultRowHeight="15" x14ac:dyDescent="0.2"/>
  <cols>
    <col min="1" max="1" width="18.6640625" customWidth="1"/>
    <col min="2" max="2" width="40.6640625" customWidth="1"/>
    <col min="3" max="3" width="0" hidden="1" customWidth="1"/>
    <col min="4" max="6" width="18.6640625" bestFit="1" customWidth="1"/>
    <col min="7" max="7" width="22.33203125" bestFit="1" customWidth="1"/>
    <col min="8" max="16" width="18.6640625" bestFit="1" customWidth="1"/>
    <col min="17" max="21" width="17.6640625" customWidth="1"/>
  </cols>
  <sheetData>
    <row r="4" spans="1:9" ht="16" thickBot="1" x14ac:dyDescent="0.25">
      <c r="B4" s="77">
        <v>1</v>
      </c>
      <c r="C4" s="77"/>
      <c r="D4" s="77">
        <v>2</v>
      </c>
      <c r="E4" s="77">
        <v>3</v>
      </c>
      <c r="F4" s="77">
        <v>4</v>
      </c>
      <c r="G4" s="77">
        <v>5</v>
      </c>
      <c r="H4" s="77">
        <v>6</v>
      </c>
      <c r="I4" s="77">
        <v>7</v>
      </c>
    </row>
    <row r="5" spans="1:9" ht="26" customHeight="1" thickBot="1" x14ac:dyDescent="0.25">
      <c r="B5" s="76" t="s">
        <v>39</v>
      </c>
      <c r="C5" s="75" t="s">
        <v>1</v>
      </c>
      <c r="D5" s="23" t="s">
        <v>2</v>
      </c>
      <c r="E5" s="23" t="s">
        <v>46</v>
      </c>
      <c r="F5" s="23" t="s">
        <v>32</v>
      </c>
      <c r="G5" s="23" t="s">
        <v>58</v>
      </c>
      <c r="H5" s="23" t="s">
        <v>45</v>
      </c>
      <c r="I5" s="24" t="s">
        <v>33</v>
      </c>
    </row>
    <row r="6" spans="1:9" ht="50" customHeight="1" x14ac:dyDescent="0.2">
      <c r="B6" s="100" t="s">
        <v>87</v>
      </c>
      <c r="C6" s="101"/>
      <c r="D6" s="102">
        <v>-500</v>
      </c>
      <c r="E6" s="9">
        <f>IF(D6&lt;0,ABS(D6)/(ABS(D6)+100), 100/ (D6 +100 ))</f>
        <v>0.83333333333333337</v>
      </c>
      <c r="F6" s="10">
        <f>IF(D6&gt;0, ABS(D6/100), ABS(100/D6))</f>
        <v>0.2</v>
      </c>
      <c r="G6" s="8">
        <v>339</v>
      </c>
      <c r="H6" s="11">
        <f>IF(I6 = "Winning Bet", G6*F6+G6, IF(I6 = "Losing Bet", -G6, 0))</f>
        <v>406.8</v>
      </c>
      <c r="I6" s="12" t="s">
        <v>34</v>
      </c>
    </row>
    <row r="7" spans="1:9" ht="50" customHeight="1" x14ac:dyDescent="0.2">
      <c r="A7" t="s">
        <v>78</v>
      </c>
      <c r="B7" s="103" t="s">
        <v>83</v>
      </c>
      <c r="C7" s="104"/>
      <c r="D7" s="105">
        <v>375</v>
      </c>
      <c r="E7" s="9">
        <f>IF(D7&lt;0,ABS(D7)/(ABS(D7)+100), 100/ (D7 +100 ))</f>
        <v>0.21052631578947367</v>
      </c>
      <c r="F7" s="10">
        <f>IF(D7&gt;0, ABS(D7/100), ABS(100/D7))</f>
        <v>3.75</v>
      </c>
      <c r="G7" s="18">
        <v>107</v>
      </c>
      <c r="H7" s="19">
        <f>G7*(D7/100)+G7</f>
        <v>508.25</v>
      </c>
      <c r="I7" s="20" t="s">
        <v>34</v>
      </c>
    </row>
    <row r="8" spans="1:9" ht="50" customHeight="1" x14ac:dyDescent="0.2">
      <c r="B8" s="106"/>
      <c r="C8" s="106"/>
      <c r="D8" s="106"/>
    </row>
    <row r="9" spans="1:9" ht="50" customHeight="1" x14ac:dyDescent="0.2">
      <c r="A9" t="s">
        <v>78</v>
      </c>
      <c r="B9" s="100" t="s">
        <v>80</v>
      </c>
      <c r="C9" s="101"/>
      <c r="D9" s="102">
        <v>425</v>
      </c>
      <c r="E9" s="9">
        <f>IF(D9&lt;0,ABS(D9)/(ABS(D9)+100), 100/ (D9 +100 ))</f>
        <v>0.19047619047619047</v>
      </c>
      <c r="F9" s="10">
        <f>IF(D9&gt;0, ABS(D9/100), ABS(100/D9))</f>
        <v>4.25</v>
      </c>
      <c r="G9" s="8">
        <v>15</v>
      </c>
      <c r="H9" s="11">
        <f>G9*(D9/100)+G9</f>
        <v>78.75</v>
      </c>
      <c r="I9" s="12" t="s">
        <v>34</v>
      </c>
    </row>
    <row r="10" spans="1:9" ht="50" customHeight="1" x14ac:dyDescent="0.2">
      <c r="B10" s="103" t="s">
        <v>81</v>
      </c>
      <c r="C10" s="104"/>
      <c r="D10" s="105">
        <v>-600</v>
      </c>
      <c r="E10" s="9">
        <f>IF(D10&lt;0,ABS(D10)/(ABS(D10)+100), 100/ (D10 +100 ))</f>
        <v>0.8571428571428571</v>
      </c>
      <c r="F10" s="10">
        <f>IF(D10&gt;0, ABS(D10/100), ABS(100/D10))</f>
        <v>0.16666666666666666</v>
      </c>
      <c r="G10" s="18">
        <v>37</v>
      </c>
      <c r="H10" s="19">
        <f>IF(I10 = "Winning Bet", G10*F10+G10, IF(I10 = "Losing Bet", -G10, 0))</f>
        <v>43.166666666666664</v>
      </c>
      <c r="I10" s="20" t="s">
        <v>34</v>
      </c>
    </row>
    <row r="13" spans="1:9" ht="16" thickBot="1" x14ac:dyDescent="0.25"/>
    <row r="14" spans="1:9" x14ac:dyDescent="0.2">
      <c r="B14" s="122" t="s">
        <v>84</v>
      </c>
      <c r="C14" s="123"/>
      <c r="D14" s="123"/>
      <c r="E14" s="124"/>
      <c r="G14">
        <f>G10+G9+G7+G6</f>
        <v>498</v>
      </c>
    </row>
    <row r="15" spans="1:9" x14ac:dyDescent="0.2">
      <c r="B15" s="118"/>
      <c r="C15" s="4"/>
      <c r="D15" s="4" t="str">
        <f>B9</f>
        <v>76ers</v>
      </c>
      <c r="E15" s="119" t="str">
        <f>B10</f>
        <v>celtics</v>
      </c>
    </row>
    <row r="16" spans="1:9" x14ac:dyDescent="0.2">
      <c r="B16" s="118" t="str">
        <f>B6</f>
        <v>nuggets</v>
      </c>
      <c r="C16" s="4"/>
      <c r="D16" s="110">
        <f>E6*E9</f>
        <v>0.15873015873015872</v>
      </c>
      <c r="E16" s="125">
        <f>E10*E6</f>
        <v>0.7142857142857143</v>
      </c>
    </row>
    <row r="17" spans="2:8" ht="16" thickBot="1" x14ac:dyDescent="0.25">
      <c r="B17" s="120" t="str">
        <f>B7</f>
        <v>suns</v>
      </c>
      <c r="C17" s="121"/>
      <c r="D17" s="126">
        <f>E7*E9</f>
        <v>4.0100250626566414E-2</v>
      </c>
      <c r="E17" s="127">
        <f>E7*E10</f>
        <v>0.18045112781954886</v>
      </c>
    </row>
    <row r="19" spans="2:8" hidden="1" x14ac:dyDescent="0.2"/>
    <row r="20" spans="2:8" hidden="1" x14ac:dyDescent="0.2">
      <c r="B20" s="90" t="s">
        <v>75</v>
      </c>
      <c r="C20" s="99"/>
      <c r="D20" s="99"/>
      <c r="E20" s="91"/>
    </row>
    <row r="21" spans="2:8" hidden="1" x14ac:dyDescent="0.2">
      <c r="B21" s="48"/>
      <c r="C21" s="4"/>
      <c r="D21" s="4"/>
      <c r="E21" s="49"/>
      <c r="G21" s="87"/>
      <c r="H21" s="87"/>
    </row>
    <row r="22" spans="2:8" hidden="1" x14ac:dyDescent="0.2">
      <c r="B22" s="48"/>
      <c r="C22" s="4"/>
      <c r="D22" s="4" t="str">
        <f>B9</f>
        <v>76ers</v>
      </c>
      <c r="E22" s="49" t="str">
        <f>B10</f>
        <v>celtics</v>
      </c>
      <c r="G22" s="114"/>
    </row>
    <row r="23" spans="2:8" hidden="1" x14ac:dyDescent="0.2">
      <c r="B23" s="48" t="str">
        <f>B6</f>
        <v>nuggets</v>
      </c>
      <c r="C23" s="4"/>
      <c r="D23" s="54">
        <f>IF(TRUE, G6*F6+G6, -G6) + IF(TRUE, G9*F9+G9, -G9 )</f>
        <v>485.55</v>
      </c>
      <c r="E23" s="55">
        <f>IF(TRUE, G6*F6+G6, -G6) + IF(TRUE, G10*F10+G10, -G10 )</f>
        <v>449.9666666666667</v>
      </c>
    </row>
    <row r="24" spans="2:8" hidden="1" x14ac:dyDescent="0.2">
      <c r="B24" s="34" t="str">
        <f>B7</f>
        <v>suns</v>
      </c>
      <c r="C24" s="3"/>
      <c r="D24" s="56">
        <f>IF(TRUE, G7*F7+G7, -G7) + IF(TRUE, G9*F9+G9, -G9 )</f>
        <v>587</v>
      </c>
      <c r="E24" s="57">
        <f>IF(TRUE, G7*F7+G7, -G7) + IF(TRUE, G10*F10+G10, -G10 )</f>
        <v>551.41666666666663</v>
      </c>
    </row>
    <row r="25" spans="2:8" hidden="1" x14ac:dyDescent="0.2"/>
    <row r="26" spans="2:8" ht="16" thickBot="1" x14ac:dyDescent="0.25"/>
    <row r="27" spans="2:8" x14ac:dyDescent="0.2">
      <c r="B27" s="115" t="s">
        <v>77</v>
      </c>
      <c r="C27" s="116"/>
      <c r="D27" s="116"/>
      <c r="E27" s="117"/>
    </row>
    <row r="28" spans="2:8" x14ac:dyDescent="0.2">
      <c r="B28" s="118" t="s">
        <v>76</v>
      </c>
      <c r="C28" s="4"/>
      <c r="D28" s="4"/>
      <c r="E28" s="119"/>
    </row>
    <row r="29" spans="2:8" x14ac:dyDescent="0.2">
      <c r="B29" s="118"/>
      <c r="C29" s="4"/>
      <c r="D29" s="130" t="str">
        <f>B9</f>
        <v>76ers</v>
      </c>
      <c r="E29" s="132" t="str">
        <f>B10</f>
        <v>celtics</v>
      </c>
    </row>
    <row r="30" spans="2:8" x14ac:dyDescent="0.2">
      <c r="B30" s="133" t="str">
        <f>B6</f>
        <v>nuggets</v>
      </c>
      <c r="C30" s="4"/>
      <c r="D30" s="128">
        <f>H9+H6-G7-G10-G6-G9</f>
        <v>-12.449999999999989</v>
      </c>
      <c r="E30" s="128">
        <f>H10+H6-G7-G9-G6-G10</f>
        <v>-48.033333333333303</v>
      </c>
      <c r="G30" s="129">
        <f>SUM(D30:E31)</f>
        <v>81.933333333333337</v>
      </c>
    </row>
    <row r="31" spans="2:8" ht="16" thickBot="1" x14ac:dyDescent="0.25">
      <c r="B31" s="131" t="str">
        <f>B7</f>
        <v>suns</v>
      </c>
      <c r="C31" s="121"/>
      <c r="D31" s="128">
        <f>H9+H7-G6-G9-G7-G10</f>
        <v>89</v>
      </c>
      <c r="E31" s="128">
        <f>H10+H7-G6-G10-G7-G9</f>
        <v>53.416666666666629</v>
      </c>
    </row>
    <row r="35" spans="1:16" ht="16" thickBot="1" x14ac:dyDescent="0.25">
      <c r="A35" s="37"/>
      <c r="B35" s="97" t="str">
        <f>B7</f>
        <v>suns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</row>
    <row r="36" spans="1:16" x14ac:dyDescent="0.2">
      <c r="A36" s="37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 spans="1:16" x14ac:dyDescent="0.2">
      <c r="A37" s="37"/>
      <c r="B37" s="36"/>
      <c r="C37" s="36"/>
      <c r="D37" s="36"/>
      <c r="E37" s="36"/>
      <c r="F37" s="37"/>
      <c r="G37" s="37"/>
      <c r="H37" s="37" t="str">
        <f>B7</f>
        <v>suns</v>
      </c>
      <c r="I37" s="37"/>
      <c r="J37" s="37"/>
      <c r="K37" s="37"/>
      <c r="L37" s="37"/>
      <c r="M37" s="37"/>
      <c r="N37" s="37"/>
      <c r="O37" s="37"/>
      <c r="P37" s="37"/>
    </row>
    <row r="38" spans="1:16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1:16" s="1" customFormat="1" x14ac:dyDescent="0.2">
      <c r="A39" s="37"/>
      <c r="B39" s="69">
        <f>E31</f>
        <v>53.416666666666629</v>
      </c>
      <c r="C39" s="37"/>
      <c r="D39" s="37">
        <v>1</v>
      </c>
      <c r="E39" s="37">
        <v>2</v>
      </c>
      <c r="F39" s="37">
        <v>3</v>
      </c>
      <c r="G39" s="37">
        <v>4</v>
      </c>
      <c r="H39" s="37">
        <v>5</v>
      </c>
      <c r="I39" s="37">
        <v>6</v>
      </c>
      <c r="J39" s="37">
        <v>7</v>
      </c>
      <c r="K39" s="37">
        <v>8</v>
      </c>
      <c r="L39" s="37">
        <v>9</v>
      </c>
      <c r="M39" s="37">
        <v>10</v>
      </c>
      <c r="N39" s="37">
        <v>11</v>
      </c>
      <c r="O39" s="37">
        <v>12</v>
      </c>
      <c r="P39" s="37">
        <v>13</v>
      </c>
    </row>
    <row r="40" spans="1:16" x14ac:dyDescent="0.2">
      <c r="A40" s="37"/>
      <c r="B40" s="37">
        <v>1</v>
      </c>
      <c r="C40" s="37">
        <f t="dataTable" ref="C40:P52" dt2D="1" dtr="1" r1="G7" r2="G9"/>
        <v>-333.83333333333331</v>
      </c>
      <c r="D40" s="44">
        <v>-330.08333333333331</v>
      </c>
      <c r="E40" s="38">
        <v>-326.33333333333331</v>
      </c>
      <c r="F40" s="38">
        <v>-322.58333333333331</v>
      </c>
      <c r="G40" s="38">
        <v>-318.83333333333331</v>
      </c>
      <c r="H40" s="38">
        <v>-315.08333333333337</v>
      </c>
      <c r="I40" s="38">
        <v>-311.33333333333337</v>
      </c>
      <c r="J40" s="38">
        <v>-307.58333333333337</v>
      </c>
      <c r="K40" s="38">
        <v>-303.83333333333337</v>
      </c>
      <c r="L40" s="38">
        <v>-300.08333333333337</v>
      </c>
      <c r="M40" s="38">
        <v>-296.33333333333337</v>
      </c>
      <c r="N40" s="38">
        <v>-292.58333333333337</v>
      </c>
      <c r="O40" s="38">
        <v>-288.83333333333337</v>
      </c>
      <c r="P40" s="12">
        <v>-285.08333333333337</v>
      </c>
    </row>
    <row r="41" spans="1:16" x14ac:dyDescent="0.2">
      <c r="A41" s="37"/>
      <c r="B41" s="37">
        <v>2</v>
      </c>
      <c r="C41" s="37">
        <v>-334.83333333333331</v>
      </c>
      <c r="D41" s="45">
        <v>-331.08333333333331</v>
      </c>
      <c r="E41" s="39">
        <v>-327.33333333333331</v>
      </c>
      <c r="F41" s="39">
        <v>-323.58333333333331</v>
      </c>
      <c r="G41" s="39">
        <v>-319.83333333333331</v>
      </c>
      <c r="H41" s="39">
        <v>-316.08333333333337</v>
      </c>
      <c r="I41" s="39">
        <v>-312.33333333333337</v>
      </c>
      <c r="J41" s="39">
        <v>-308.58333333333337</v>
      </c>
      <c r="K41" s="39">
        <v>-304.83333333333337</v>
      </c>
      <c r="L41" s="39">
        <v>-301.08333333333337</v>
      </c>
      <c r="M41" s="39">
        <v>-297.33333333333337</v>
      </c>
      <c r="N41" s="39">
        <v>-293.58333333333337</v>
      </c>
      <c r="O41" s="39">
        <v>-289.83333333333337</v>
      </c>
      <c r="P41" s="46">
        <v>-286.08333333333337</v>
      </c>
    </row>
    <row r="42" spans="1:16" x14ac:dyDescent="0.2">
      <c r="A42" s="37"/>
      <c r="B42" s="37">
        <v>3</v>
      </c>
      <c r="C42" s="37">
        <v>-335.83333333333331</v>
      </c>
      <c r="D42" s="45">
        <v>-332.08333333333331</v>
      </c>
      <c r="E42" s="39">
        <v>-328.33333333333331</v>
      </c>
      <c r="F42" s="39">
        <v>-324.58333333333331</v>
      </c>
      <c r="G42" s="39">
        <v>-320.83333333333331</v>
      </c>
      <c r="H42" s="39">
        <v>-317.08333333333337</v>
      </c>
      <c r="I42" s="39">
        <v>-313.33333333333337</v>
      </c>
      <c r="J42" s="39">
        <v>-309.58333333333337</v>
      </c>
      <c r="K42" s="39">
        <v>-305.83333333333337</v>
      </c>
      <c r="L42" s="39">
        <v>-302.08333333333337</v>
      </c>
      <c r="M42" s="39">
        <v>-298.33333333333337</v>
      </c>
      <c r="N42" s="39">
        <v>-294.58333333333337</v>
      </c>
      <c r="O42" s="39">
        <v>-290.83333333333337</v>
      </c>
      <c r="P42" s="46">
        <v>-287.08333333333337</v>
      </c>
    </row>
    <row r="43" spans="1:16" x14ac:dyDescent="0.2">
      <c r="A43" s="37"/>
      <c r="B43" s="37">
        <v>4</v>
      </c>
      <c r="C43" s="37">
        <v>-336.83333333333331</v>
      </c>
      <c r="D43" s="45">
        <v>-333.08333333333331</v>
      </c>
      <c r="E43" s="39">
        <v>-329.33333333333331</v>
      </c>
      <c r="F43" s="39">
        <v>-325.58333333333331</v>
      </c>
      <c r="G43" s="39">
        <v>-321.83333333333331</v>
      </c>
      <c r="H43" s="39">
        <v>-318.08333333333337</v>
      </c>
      <c r="I43" s="39">
        <v>-314.33333333333337</v>
      </c>
      <c r="J43" s="39">
        <v>-310.58333333333337</v>
      </c>
      <c r="K43" s="39">
        <v>-306.83333333333337</v>
      </c>
      <c r="L43" s="39">
        <v>-303.08333333333337</v>
      </c>
      <c r="M43" s="39">
        <v>-299.33333333333337</v>
      </c>
      <c r="N43" s="39">
        <v>-295.58333333333337</v>
      </c>
      <c r="O43" s="39">
        <v>-291.83333333333337</v>
      </c>
      <c r="P43" s="46">
        <v>-288.08333333333337</v>
      </c>
    </row>
    <row r="44" spans="1:16" x14ac:dyDescent="0.2">
      <c r="A44" s="37"/>
      <c r="B44" s="37">
        <v>5</v>
      </c>
      <c r="C44" s="37">
        <v>-337.83333333333331</v>
      </c>
      <c r="D44" s="45">
        <v>-334.08333333333331</v>
      </c>
      <c r="E44" s="39">
        <v>-330.33333333333331</v>
      </c>
      <c r="F44" s="39">
        <v>-326.58333333333331</v>
      </c>
      <c r="G44" s="39">
        <v>-322.83333333333331</v>
      </c>
      <c r="H44" s="39">
        <v>-319.08333333333337</v>
      </c>
      <c r="I44" s="39">
        <v>-315.33333333333337</v>
      </c>
      <c r="J44" s="39">
        <v>-311.58333333333337</v>
      </c>
      <c r="K44" s="39">
        <v>-307.83333333333337</v>
      </c>
      <c r="L44" s="39">
        <v>-304.08333333333337</v>
      </c>
      <c r="M44" s="39">
        <v>-300.33333333333337</v>
      </c>
      <c r="N44" s="39">
        <v>-296.58333333333337</v>
      </c>
      <c r="O44" s="39">
        <v>-292.83333333333337</v>
      </c>
      <c r="P44" s="46">
        <v>-289.08333333333337</v>
      </c>
    </row>
    <row r="45" spans="1:16" x14ac:dyDescent="0.2">
      <c r="A45" s="37"/>
      <c r="B45" s="37">
        <v>6</v>
      </c>
      <c r="C45" s="37">
        <v>-338.83333333333331</v>
      </c>
      <c r="D45" s="45">
        <v>-335.08333333333331</v>
      </c>
      <c r="E45" s="39">
        <v>-331.33333333333331</v>
      </c>
      <c r="F45" s="39">
        <v>-327.58333333333331</v>
      </c>
      <c r="G45" s="39">
        <v>-323.83333333333331</v>
      </c>
      <c r="H45" s="39">
        <v>-320.08333333333337</v>
      </c>
      <c r="I45" s="39">
        <v>-316.33333333333337</v>
      </c>
      <c r="J45" s="39">
        <v>-312.58333333333337</v>
      </c>
      <c r="K45" s="39">
        <v>-308.83333333333337</v>
      </c>
      <c r="L45" s="39">
        <v>-305.08333333333337</v>
      </c>
      <c r="M45" s="39">
        <v>-301.33333333333337</v>
      </c>
      <c r="N45" s="39">
        <v>-297.58333333333337</v>
      </c>
      <c r="O45" s="39">
        <v>-293.83333333333337</v>
      </c>
      <c r="P45" s="46">
        <v>-290.08333333333337</v>
      </c>
    </row>
    <row r="46" spans="1:16" x14ac:dyDescent="0.2">
      <c r="A46" s="37" t="str">
        <f>B9</f>
        <v>76ers</v>
      </c>
      <c r="B46" s="37">
        <v>7</v>
      </c>
      <c r="C46" s="37">
        <v>-339.83333333333331</v>
      </c>
      <c r="D46" s="45">
        <v>-336.08333333333331</v>
      </c>
      <c r="E46" s="39">
        <v>-332.33333333333331</v>
      </c>
      <c r="F46" s="39">
        <v>-328.58333333333331</v>
      </c>
      <c r="G46" s="39">
        <v>-324.83333333333331</v>
      </c>
      <c r="H46" s="39">
        <v>-321.08333333333337</v>
      </c>
      <c r="I46" s="39">
        <v>-317.33333333333337</v>
      </c>
      <c r="J46" s="39">
        <v>-313.58333333333337</v>
      </c>
      <c r="K46" s="39">
        <v>-309.83333333333337</v>
      </c>
      <c r="L46" s="39">
        <v>-306.08333333333337</v>
      </c>
      <c r="M46" s="39">
        <v>-302.33333333333337</v>
      </c>
      <c r="N46" s="39">
        <v>-298.58333333333337</v>
      </c>
      <c r="O46" s="39">
        <v>-294.83333333333337</v>
      </c>
      <c r="P46" s="46">
        <v>-291.08333333333337</v>
      </c>
    </row>
    <row r="47" spans="1:16" x14ac:dyDescent="0.2">
      <c r="A47" s="37"/>
      <c r="B47" s="37">
        <v>8</v>
      </c>
      <c r="C47" s="37">
        <v>-340.83333333333331</v>
      </c>
      <c r="D47" s="45">
        <v>-337.08333333333331</v>
      </c>
      <c r="E47" s="39">
        <v>-333.33333333333331</v>
      </c>
      <c r="F47" s="39">
        <v>-329.58333333333331</v>
      </c>
      <c r="G47" s="39">
        <v>-325.83333333333331</v>
      </c>
      <c r="H47" s="39">
        <v>-322.08333333333337</v>
      </c>
      <c r="I47" s="39">
        <v>-318.33333333333337</v>
      </c>
      <c r="J47" s="39">
        <v>-314.58333333333337</v>
      </c>
      <c r="K47" s="39">
        <v>-310.83333333333337</v>
      </c>
      <c r="L47" s="39">
        <v>-307.08333333333337</v>
      </c>
      <c r="M47" s="39">
        <v>-303.33333333333337</v>
      </c>
      <c r="N47" s="39">
        <v>-299.58333333333337</v>
      </c>
      <c r="O47" s="39">
        <v>-295.83333333333337</v>
      </c>
      <c r="P47" s="46">
        <v>-292.08333333333337</v>
      </c>
    </row>
    <row r="48" spans="1:16" x14ac:dyDescent="0.2">
      <c r="A48" s="37"/>
      <c r="B48" s="37">
        <v>9</v>
      </c>
      <c r="C48" s="37">
        <v>-341.83333333333331</v>
      </c>
      <c r="D48" s="45">
        <v>-338.08333333333331</v>
      </c>
      <c r="E48" s="39">
        <v>-334.33333333333331</v>
      </c>
      <c r="F48" s="39">
        <v>-330.58333333333331</v>
      </c>
      <c r="G48" s="39">
        <v>-326.83333333333331</v>
      </c>
      <c r="H48" s="39">
        <v>-323.08333333333337</v>
      </c>
      <c r="I48" s="39">
        <v>-319.33333333333337</v>
      </c>
      <c r="J48" s="39">
        <v>-315.58333333333337</v>
      </c>
      <c r="K48" s="39">
        <v>-311.83333333333337</v>
      </c>
      <c r="L48" s="39">
        <v>-308.08333333333337</v>
      </c>
      <c r="M48" s="39">
        <v>-304.33333333333337</v>
      </c>
      <c r="N48" s="39">
        <v>-300.58333333333337</v>
      </c>
      <c r="O48" s="39">
        <v>-296.83333333333337</v>
      </c>
      <c r="P48" s="46">
        <v>-293.08333333333337</v>
      </c>
    </row>
    <row r="49" spans="1:16" x14ac:dyDescent="0.2">
      <c r="A49" s="37"/>
      <c r="B49" s="37">
        <v>10</v>
      </c>
      <c r="C49" s="37">
        <v>-342.83333333333331</v>
      </c>
      <c r="D49" s="45">
        <v>-339.08333333333331</v>
      </c>
      <c r="E49" s="39">
        <v>-335.33333333333331</v>
      </c>
      <c r="F49" s="39">
        <v>-331.58333333333331</v>
      </c>
      <c r="G49" s="39">
        <v>-327.83333333333331</v>
      </c>
      <c r="H49" s="39">
        <v>-324.08333333333337</v>
      </c>
      <c r="I49" s="39">
        <v>-320.33333333333337</v>
      </c>
      <c r="J49" s="39">
        <v>-316.58333333333337</v>
      </c>
      <c r="K49" s="39">
        <v>-312.83333333333337</v>
      </c>
      <c r="L49" s="39">
        <v>-309.08333333333337</v>
      </c>
      <c r="M49" s="39">
        <v>-305.33333333333337</v>
      </c>
      <c r="N49" s="39">
        <v>-301.58333333333337</v>
      </c>
      <c r="O49" s="39">
        <v>-297.83333333333337</v>
      </c>
      <c r="P49" s="46">
        <v>-294.08333333333337</v>
      </c>
    </row>
    <row r="50" spans="1:16" x14ac:dyDescent="0.2">
      <c r="A50" s="37"/>
      <c r="B50" s="37">
        <v>11</v>
      </c>
      <c r="C50" s="37">
        <v>-343.83333333333331</v>
      </c>
      <c r="D50" s="45">
        <v>-340.08333333333331</v>
      </c>
      <c r="E50" s="39">
        <v>-336.33333333333331</v>
      </c>
      <c r="F50" s="39">
        <v>-332.58333333333331</v>
      </c>
      <c r="G50" s="39">
        <v>-328.83333333333331</v>
      </c>
      <c r="H50" s="39">
        <v>-325.08333333333337</v>
      </c>
      <c r="I50" s="39">
        <v>-321.33333333333337</v>
      </c>
      <c r="J50" s="39">
        <v>-317.58333333333337</v>
      </c>
      <c r="K50" s="39">
        <v>-313.83333333333337</v>
      </c>
      <c r="L50" s="39">
        <v>-310.08333333333337</v>
      </c>
      <c r="M50" s="39">
        <v>-306.33333333333337</v>
      </c>
      <c r="N50" s="39">
        <v>-302.58333333333337</v>
      </c>
      <c r="O50" s="39">
        <v>-298.83333333333337</v>
      </c>
      <c r="P50" s="46">
        <v>-295.08333333333337</v>
      </c>
    </row>
    <row r="51" spans="1:16" x14ac:dyDescent="0.2">
      <c r="A51" s="37"/>
      <c r="B51" s="37">
        <v>12</v>
      </c>
      <c r="C51" s="37">
        <v>-344.83333333333331</v>
      </c>
      <c r="D51" s="45">
        <v>-341.08333333333331</v>
      </c>
      <c r="E51" s="39">
        <v>-337.33333333333331</v>
      </c>
      <c r="F51" s="39">
        <v>-333.58333333333331</v>
      </c>
      <c r="G51" s="39">
        <v>-329.83333333333331</v>
      </c>
      <c r="H51" s="39">
        <v>-326.08333333333337</v>
      </c>
      <c r="I51" s="39">
        <v>-322.33333333333337</v>
      </c>
      <c r="J51" s="39">
        <v>-318.58333333333337</v>
      </c>
      <c r="K51" s="39">
        <v>-314.83333333333337</v>
      </c>
      <c r="L51" s="39">
        <v>-311.08333333333337</v>
      </c>
      <c r="M51" s="39">
        <v>-307.33333333333337</v>
      </c>
      <c r="N51" s="39">
        <v>-303.58333333333337</v>
      </c>
      <c r="O51" s="39">
        <v>-299.83333333333337</v>
      </c>
      <c r="P51" s="46">
        <v>-296.08333333333337</v>
      </c>
    </row>
    <row r="52" spans="1:16" x14ac:dyDescent="0.2">
      <c r="A52" s="37"/>
      <c r="B52" s="37">
        <v>13</v>
      </c>
      <c r="C52" s="37">
        <v>-345.83333333333331</v>
      </c>
      <c r="D52" s="47">
        <v>-342.08333333333331</v>
      </c>
      <c r="E52" s="40">
        <v>-338.33333333333331</v>
      </c>
      <c r="F52" s="40">
        <v>-334.58333333333331</v>
      </c>
      <c r="G52" s="40">
        <v>-330.83333333333331</v>
      </c>
      <c r="H52" s="40">
        <v>-327.08333333333337</v>
      </c>
      <c r="I52" s="40">
        <v>-323.33333333333337</v>
      </c>
      <c r="J52" s="40">
        <v>-319.58333333333337</v>
      </c>
      <c r="K52" s="40">
        <v>-315.83333333333337</v>
      </c>
      <c r="L52" s="40">
        <v>-312.08333333333337</v>
      </c>
      <c r="M52" s="40">
        <v>-308.33333333333337</v>
      </c>
      <c r="N52" s="40">
        <v>-304.58333333333337</v>
      </c>
      <c r="O52" s="40">
        <v>-300.83333333333337</v>
      </c>
      <c r="P52" s="20">
        <v>-297.08333333333337</v>
      </c>
    </row>
    <row r="53" spans="1:16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</row>
    <row r="54" spans="1: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6" thickBot="1" x14ac:dyDescent="0.25">
      <c r="A56" s="37"/>
      <c r="B56" s="97" t="str">
        <f>B9</f>
        <v>76ers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</row>
    <row r="57" spans="1:16" x14ac:dyDescent="0.2">
      <c r="A57" s="37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x14ac:dyDescent="0.2">
      <c r="A58" s="98"/>
      <c r="B58" s="98"/>
      <c r="C58" s="41"/>
      <c r="D58" s="41"/>
      <c r="E58" s="41"/>
      <c r="F58" s="41"/>
      <c r="G58" s="41"/>
      <c r="H58" s="43" t="str">
        <f>B7</f>
        <v>suns</v>
      </c>
      <c r="I58" s="41"/>
      <c r="J58" s="41"/>
      <c r="K58" s="41"/>
      <c r="L58" s="41"/>
      <c r="M58" s="41"/>
      <c r="N58" s="41"/>
      <c r="O58" s="41"/>
      <c r="P58" s="41"/>
    </row>
    <row r="59" spans="1:16" x14ac:dyDescent="0.2">
      <c r="A59" s="60"/>
      <c r="B59" s="78"/>
      <c r="C59" s="36"/>
      <c r="D59" s="36"/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16" x14ac:dyDescent="0.2">
      <c r="A60" s="60"/>
      <c r="B60" s="69">
        <f>D30</f>
        <v>-12.449999999999989</v>
      </c>
      <c r="C60" s="37"/>
      <c r="D60" s="37">
        <v>1</v>
      </c>
      <c r="E60" s="37">
        <v>2</v>
      </c>
      <c r="F60" s="37">
        <v>3</v>
      </c>
      <c r="G60" s="37">
        <v>4</v>
      </c>
      <c r="H60" s="37">
        <v>5</v>
      </c>
      <c r="I60" s="37">
        <v>6</v>
      </c>
      <c r="J60" s="37">
        <v>7</v>
      </c>
      <c r="K60" s="37">
        <v>8</v>
      </c>
      <c r="L60" s="37">
        <v>9</v>
      </c>
      <c r="M60" s="37">
        <v>10</v>
      </c>
      <c r="N60" s="37">
        <v>11</v>
      </c>
      <c r="O60" s="37">
        <v>12</v>
      </c>
      <c r="P60" s="37">
        <v>13</v>
      </c>
    </row>
    <row r="61" spans="1:16" x14ac:dyDescent="0.2">
      <c r="A61" s="60"/>
      <c r="B61" s="37">
        <v>1</v>
      </c>
      <c r="C61" s="37">
        <f t="dataTable" ref="C61:P73" dt2D="1" dtr="1" r1="G7" r2="G9" ca="1"/>
        <v>35.050000000000011</v>
      </c>
      <c r="D61" s="44">
        <v>34.050000000000011</v>
      </c>
      <c r="E61" s="38">
        <v>33.050000000000011</v>
      </c>
      <c r="F61" s="38">
        <v>32.050000000000011</v>
      </c>
      <c r="G61" s="38">
        <v>31.050000000000011</v>
      </c>
      <c r="H61" s="38">
        <v>30.050000000000011</v>
      </c>
      <c r="I61" s="38">
        <v>29.050000000000011</v>
      </c>
      <c r="J61" s="38">
        <v>28.050000000000011</v>
      </c>
      <c r="K61" s="38">
        <v>27.050000000000011</v>
      </c>
      <c r="L61" s="38">
        <v>26.050000000000011</v>
      </c>
      <c r="M61" s="38">
        <v>25.050000000000011</v>
      </c>
      <c r="N61" s="38">
        <v>24.050000000000011</v>
      </c>
      <c r="O61" s="38">
        <v>23.050000000000011</v>
      </c>
      <c r="P61" s="12">
        <v>22.050000000000011</v>
      </c>
    </row>
    <row r="62" spans="1:16" x14ac:dyDescent="0.2">
      <c r="A62" s="60"/>
      <c r="B62" s="37">
        <v>2</v>
      </c>
      <c r="C62" s="37">
        <v>39.300000000000011</v>
      </c>
      <c r="D62" s="45">
        <v>38.300000000000011</v>
      </c>
      <c r="E62" s="39">
        <v>37.300000000000011</v>
      </c>
      <c r="F62" s="39">
        <v>36.300000000000011</v>
      </c>
      <c r="G62" s="39">
        <v>35.300000000000011</v>
      </c>
      <c r="H62" s="39">
        <v>34.300000000000011</v>
      </c>
      <c r="I62" s="39">
        <v>33.300000000000011</v>
      </c>
      <c r="J62" s="39">
        <v>32.300000000000011</v>
      </c>
      <c r="K62" s="39">
        <v>31.300000000000011</v>
      </c>
      <c r="L62" s="39">
        <v>30.300000000000011</v>
      </c>
      <c r="M62" s="39">
        <v>29.300000000000011</v>
      </c>
      <c r="N62" s="39">
        <v>28.300000000000011</v>
      </c>
      <c r="O62" s="39">
        <v>27.300000000000011</v>
      </c>
      <c r="P62" s="46">
        <v>26.300000000000011</v>
      </c>
    </row>
    <row r="63" spans="1:16" x14ac:dyDescent="0.2">
      <c r="A63" s="60"/>
      <c r="B63" s="37">
        <v>3</v>
      </c>
      <c r="C63" s="37">
        <v>43.550000000000011</v>
      </c>
      <c r="D63" s="45">
        <v>42.550000000000011</v>
      </c>
      <c r="E63" s="39">
        <v>41.550000000000011</v>
      </c>
      <c r="F63" s="39">
        <v>40.550000000000011</v>
      </c>
      <c r="G63" s="39">
        <v>39.550000000000011</v>
      </c>
      <c r="H63" s="39">
        <v>38.550000000000011</v>
      </c>
      <c r="I63" s="39">
        <v>37.550000000000011</v>
      </c>
      <c r="J63" s="39">
        <v>36.550000000000011</v>
      </c>
      <c r="K63" s="39">
        <v>35.550000000000011</v>
      </c>
      <c r="L63" s="39">
        <v>34.550000000000011</v>
      </c>
      <c r="M63" s="39">
        <v>33.550000000000011</v>
      </c>
      <c r="N63" s="39">
        <v>32.550000000000011</v>
      </c>
      <c r="O63" s="39">
        <v>31.550000000000011</v>
      </c>
      <c r="P63" s="46">
        <v>30.550000000000011</v>
      </c>
    </row>
    <row r="64" spans="1:16" x14ac:dyDescent="0.2">
      <c r="A64" s="60"/>
      <c r="B64" s="37">
        <v>4</v>
      </c>
      <c r="C64" s="37">
        <v>47.800000000000011</v>
      </c>
      <c r="D64" s="45">
        <v>46.800000000000011</v>
      </c>
      <c r="E64" s="39">
        <v>45.800000000000011</v>
      </c>
      <c r="F64" s="39">
        <v>44.800000000000011</v>
      </c>
      <c r="G64" s="39">
        <v>43.800000000000011</v>
      </c>
      <c r="H64" s="39">
        <v>42.800000000000011</v>
      </c>
      <c r="I64" s="39">
        <v>41.800000000000011</v>
      </c>
      <c r="J64" s="39">
        <v>40.800000000000011</v>
      </c>
      <c r="K64" s="39">
        <v>39.800000000000011</v>
      </c>
      <c r="L64" s="39">
        <v>38.800000000000011</v>
      </c>
      <c r="M64" s="39">
        <v>37.800000000000011</v>
      </c>
      <c r="N64" s="39">
        <v>36.800000000000011</v>
      </c>
      <c r="O64" s="39">
        <v>35.800000000000011</v>
      </c>
      <c r="P64" s="46">
        <v>34.800000000000011</v>
      </c>
    </row>
    <row r="65" spans="1:16" x14ac:dyDescent="0.2">
      <c r="A65" s="37"/>
      <c r="B65" s="37">
        <v>5</v>
      </c>
      <c r="C65" s="37">
        <v>52.050000000000011</v>
      </c>
      <c r="D65" s="45">
        <v>51.050000000000011</v>
      </c>
      <c r="E65" s="39">
        <v>50.050000000000011</v>
      </c>
      <c r="F65" s="39">
        <v>49.050000000000011</v>
      </c>
      <c r="G65" s="39">
        <v>48.050000000000011</v>
      </c>
      <c r="H65" s="39">
        <v>47.050000000000011</v>
      </c>
      <c r="I65" s="39">
        <v>46.050000000000011</v>
      </c>
      <c r="J65" s="39">
        <v>45.050000000000011</v>
      </c>
      <c r="K65" s="39">
        <v>44.050000000000011</v>
      </c>
      <c r="L65" s="39">
        <v>43.050000000000011</v>
      </c>
      <c r="M65" s="39">
        <v>42.050000000000011</v>
      </c>
      <c r="N65" s="39">
        <v>41.050000000000011</v>
      </c>
      <c r="O65" s="39">
        <v>40.050000000000011</v>
      </c>
      <c r="P65" s="46">
        <v>39.050000000000011</v>
      </c>
    </row>
    <row r="66" spans="1:16" x14ac:dyDescent="0.2">
      <c r="A66" s="37"/>
      <c r="B66" s="37">
        <v>6</v>
      </c>
      <c r="C66" s="37">
        <v>56.300000000000011</v>
      </c>
      <c r="D66" s="45">
        <v>55.300000000000011</v>
      </c>
      <c r="E66" s="39">
        <v>54.300000000000011</v>
      </c>
      <c r="F66" s="39">
        <v>53.300000000000011</v>
      </c>
      <c r="G66" s="39">
        <v>52.300000000000011</v>
      </c>
      <c r="H66" s="39">
        <v>51.300000000000011</v>
      </c>
      <c r="I66" s="39">
        <v>50.300000000000011</v>
      </c>
      <c r="J66" s="39">
        <v>49.300000000000011</v>
      </c>
      <c r="K66" s="39">
        <v>48.300000000000011</v>
      </c>
      <c r="L66" s="39">
        <v>47.300000000000011</v>
      </c>
      <c r="M66" s="39">
        <v>46.300000000000011</v>
      </c>
      <c r="N66" s="39">
        <v>45.300000000000011</v>
      </c>
      <c r="O66" s="39">
        <v>44.300000000000011</v>
      </c>
      <c r="P66" s="46">
        <v>43.300000000000011</v>
      </c>
    </row>
    <row r="67" spans="1:16" x14ac:dyDescent="0.2">
      <c r="A67" s="37" t="str">
        <f>B9</f>
        <v>76ers</v>
      </c>
      <c r="B67" s="37">
        <v>7</v>
      </c>
      <c r="C67" s="37">
        <v>60.550000000000011</v>
      </c>
      <c r="D67" s="45">
        <v>59.550000000000011</v>
      </c>
      <c r="E67" s="39">
        <v>58.550000000000011</v>
      </c>
      <c r="F67" s="39">
        <v>57.550000000000011</v>
      </c>
      <c r="G67" s="39">
        <v>56.550000000000011</v>
      </c>
      <c r="H67" s="39">
        <v>55.550000000000011</v>
      </c>
      <c r="I67" s="39">
        <v>54.550000000000011</v>
      </c>
      <c r="J67" s="39">
        <v>53.550000000000011</v>
      </c>
      <c r="K67" s="39">
        <v>52.550000000000011</v>
      </c>
      <c r="L67" s="39">
        <v>51.550000000000011</v>
      </c>
      <c r="M67" s="39">
        <v>50.550000000000011</v>
      </c>
      <c r="N67" s="39">
        <v>49.550000000000011</v>
      </c>
      <c r="O67" s="39">
        <v>48.550000000000011</v>
      </c>
      <c r="P67" s="46">
        <v>47.550000000000011</v>
      </c>
    </row>
    <row r="68" spans="1:16" x14ac:dyDescent="0.2">
      <c r="A68" s="37"/>
      <c r="B68" s="37">
        <v>8</v>
      </c>
      <c r="C68" s="37">
        <v>64.800000000000011</v>
      </c>
      <c r="D68" s="45">
        <v>63.800000000000011</v>
      </c>
      <c r="E68" s="39">
        <v>62.800000000000011</v>
      </c>
      <c r="F68" s="39">
        <v>61.800000000000011</v>
      </c>
      <c r="G68" s="39">
        <v>60.800000000000011</v>
      </c>
      <c r="H68" s="39">
        <v>59.800000000000011</v>
      </c>
      <c r="I68" s="39">
        <v>58.800000000000011</v>
      </c>
      <c r="J68" s="39">
        <v>57.800000000000011</v>
      </c>
      <c r="K68" s="39">
        <v>56.800000000000011</v>
      </c>
      <c r="L68" s="39">
        <v>55.800000000000011</v>
      </c>
      <c r="M68" s="39">
        <v>54.800000000000011</v>
      </c>
      <c r="N68" s="39">
        <v>53.800000000000011</v>
      </c>
      <c r="O68" s="39">
        <v>52.800000000000011</v>
      </c>
      <c r="P68" s="46">
        <v>51.800000000000011</v>
      </c>
    </row>
    <row r="69" spans="1:16" x14ac:dyDescent="0.2">
      <c r="A69" s="37"/>
      <c r="B69" s="37">
        <v>9</v>
      </c>
      <c r="C69" s="37">
        <v>69.050000000000011</v>
      </c>
      <c r="D69" s="45">
        <v>68.050000000000011</v>
      </c>
      <c r="E69" s="39">
        <v>67.050000000000011</v>
      </c>
      <c r="F69" s="39">
        <v>66.050000000000011</v>
      </c>
      <c r="G69" s="39">
        <v>65.050000000000011</v>
      </c>
      <c r="H69" s="39">
        <v>64.050000000000011</v>
      </c>
      <c r="I69" s="39">
        <v>63.050000000000011</v>
      </c>
      <c r="J69" s="39">
        <v>62.050000000000011</v>
      </c>
      <c r="K69" s="39">
        <v>61.050000000000011</v>
      </c>
      <c r="L69" s="39">
        <v>60.050000000000011</v>
      </c>
      <c r="M69" s="39">
        <v>59.050000000000011</v>
      </c>
      <c r="N69" s="39">
        <v>58.050000000000011</v>
      </c>
      <c r="O69" s="39">
        <v>57.050000000000011</v>
      </c>
      <c r="P69" s="46">
        <v>56.050000000000011</v>
      </c>
    </row>
    <row r="70" spans="1:16" x14ac:dyDescent="0.2">
      <c r="A70" s="37"/>
      <c r="B70" s="37">
        <v>10</v>
      </c>
      <c r="C70" s="37">
        <v>73.300000000000011</v>
      </c>
      <c r="D70" s="45">
        <v>72.300000000000011</v>
      </c>
      <c r="E70" s="39">
        <v>71.300000000000011</v>
      </c>
      <c r="F70" s="39">
        <v>70.300000000000011</v>
      </c>
      <c r="G70" s="39">
        <v>69.300000000000011</v>
      </c>
      <c r="H70" s="39">
        <v>68.300000000000011</v>
      </c>
      <c r="I70" s="39">
        <v>67.300000000000011</v>
      </c>
      <c r="J70" s="39">
        <v>66.300000000000011</v>
      </c>
      <c r="K70" s="39">
        <v>65.300000000000011</v>
      </c>
      <c r="L70" s="39">
        <v>64.300000000000011</v>
      </c>
      <c r="M70" s="39">
        <v>63.300000000000011</v>
      </c>
      <c r="N70" s="39">
        <v>62.300000000000011</v>
      </c>
      <c r="O70" s="39">
        <v>61.300000000000011</v>
      </c>
      <c r="P70" s="46">
        <v>60.300000000000011</v>
      </c>
    </row>
    <row r="71" spans="1:16" x14ac:dyDescent="0.2">
      <c r="A71" s="37"/>
      <c r="B71" s="37">
        <v>11</v>
      </c>
      <c r="C71" s="37">
        <v>77.550000000000011</v>
      </c>
      <c r="D71" s="45">
        <v>76.550000000000011</v>
      </c>
      <c r="E71" s="39">
        <v>75.550000000000011</v>
      </c>
      <c r="F71" s="39">
        <v>74.550000000000011</v>
      </c>
      <c r="G71" s="39">
        <v>73.550000000000011</v>
      </c>
      <c r="H71" s="39">
        <v>72.550000000000011</v>
      </c>
      <c r="I71" s="39">
        <v>71.550000000000011</v>
      </c>
      <c r="J71" s="39">
        <v>70.550000000000011</v>
      </c>
      <c r="K71" s="39">
        <v>69.550000000000011</v>
      </c>
      <c r="L71" s="39">
        <v>68.550000000000011</v>
      </c>
      <c r="M71" s="39">
        <v>67.550000000000011</v>
      </c>
      <c r="N71" s="39">
        <v>66.550000000000011</v>
      </c>
      <c r="O71" s="39">
        <v>65.550000000000011</v>
      </c>
      <c r="P71" s="46">
        <v>64.550000000000011</v>
      </c>
    </row>
    <row r="72" spans="1:16" x14ac:dyDescent="0.2">
      <c r="A72" s="37"/>
      <c r="B72" s="37">
        <v>12</v>
      </c>
      <c r="C72" s="37">
        <v>81.800000000000011</v>
      </c>
      <c r="D72" s="45">
        <v>80.800000000000011</v>
      </c>
      <c r="E72" s="39">
        <v>79.800000000000011</v>
      </c>
      <c r="F72" s="39">
        <v>78.800000000000011</v>
      </c>
      <c r="G72" s="39">
        <v>77.800000000000011</v>
      </c>
      <c r="H72" s="39">
        <v>76.800000000000011</v>
      </c>
      <c r="I72" s="39">
        <v>75.800000000000011</v>
      </c>
      <c r="J72" s="39">
        <v>74.800000000000011</v>
      </c>
      <c r="K72" s="39">
        <v>73.800000000000011</v>
      </c>
      <c r="L72" s="39">
        <v>72.800000000000011</v>
      </c>
      <c r="M72" s="39">
        <v>71.800000000000011</v>
      </c>
      <c r="N72" s="39">
        <v>70.800000000000011</v>
      </c>
      <c r="O72" s="39">
        <v>69.800000000000011</v>
      </c>
      <c r="P72" s="46">
        <v>68.800000000000011</v>
      </c>
    </row>
    <row r="73" spans="1:16" x14ac:dyDescent="0.2">
      <c r="A73" s="37"/>
      <c r="B73" s="37">
        <v>13</v>
      </c>
      <c r="C73" s="37">
        <v>86.050000000000011</v>
      </c>
      <c r="D73" s="47">
        <v>85.050000000000011</v>
      </c>
      <c r="E73" s="40">
        <v>84.050000000000011</v>
      </c>
      <c r="F73" s="40">
        <v>83.050000000000011</v>
      </c>
      <c r="G73" s="40">
        <v>82.050000000000011</v>
      </c>
      <c r="H73" s="40">
        <v>81.050000000000011</v>
      </c>
      <c r="I73" s="40">
        <v>80.050000000000011</v>
      </c>
      <c r="J73" s="40">
        <v>79.050000000000011</v>
      </c>
      <c r="K73" s="40">
        <v>78.050000000000011</v>
      </c>
      <c r="L73" s="40">
        <v>77.050000000000011</v>
      </c>
      <c r="M73" s="40">
        <v>76.050000000000011</v>
      </c>
      <c r="N73" s="40">
        <v>75.050000000000011</v>
      </c>
      <c r="O73" s="40">
        <v>74.050000000000011</v>
      </c>
      <c r="P73" s="20">
        <v>73.050000000000011</v>
      </c>
    </row>
    <row r="74" spans="1:16" x14ac:dyDescent="0.2">
      <c r="A74" s="37"/>
      <c r="B74" s="37"/>
      <c r="C74" s="37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 x14ac:dyDescent="0.2">
      <c r="A75" s="37"/>
      <c r="B75" s="37"/>
      <c r="C75" s="37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16" ht="16" thickBot="1" x14ac:dyDescent="0.25">
      <c r="A76" s="37"/>
      <c r="B76" s="97" t="s">
        <v>79</v>
      </c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</row>
    <row r="77" spans="1:16" x14ac:dyDescent="0.2">
      <c r="A77" s="37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x14ac:dyDescent="0.2">
      <c r="A78" s="98"/>
      <c r="B78" s="98"/>
      <c r="C78" s="41"/>
      <c r="D78" s="41"/>
      <c r="E78" s="41"/>
      <c r="F78" s="41"/>
      <c r="G78" s="41"/>
      <c r="H78" s="43" t="str">
        <f>B7</f>
        <v>suns</v>
      </c>
      <c r="I78" s="41"/>
      <c r="J78" s="41"/>
      <c r="K78" s="41"/>
      <c r="L78" s="41"/>
      <c r="M78" s="41"/>
      <c r="N78" s="41"/>
      <c r="O78" s="41"/>
      <c r="P78" s="41"/>
    </row>
    <row r="79" spans="1:16" x14ac:dyDescent="0.2">
      <c r="A79" s="60"/>
      <c r="B79" s="78"/>
      <c r="C79" s="36"/>
      <c r="D79" s="36"/>
      <c r="E79" s="36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</row>
    <row r="80" spans="1:16" x14ac:dyDescent="0.2">
      <c r="A80" s="60"/>
      <c r="B80" s="37"/>
      <c r="D80" s="37">
        <v>1</v>
      </c>
      <c r="E80" s="37">
        <v>2</v>
      </c>
      <c r="F80" s="37">
        <v>3</v>
      </c>
      <c r="G80" s="37">
        <v>4</v>
      </c>
      <c r="H80" s="37">
        <v>5</v>
      </c>
      <c r="I80" s="37">
        <v>6</v>
      </c>
      <c r="J80" s="37">
        <v>7</v>
      </c>
      <c r="K80" s="37">
        <v>8</v>
      </c>
      <c r="L80" s="37">
        <v>9</v>
      </c>
      <c r="M80" s="37">
        <v>10</v>
      </c>
      <c r="N80" s="37">
        <v>11</v>
      </c>
      <c r="O80" s="37">
        <v>12</v>
      </c>
      <c r="P80" s="37">
        <v>13</v>
      </c>
    </row>
    <row r="81" spans="1:16" x14ac:dyDescent="0.2">
      <c r="A81" s="60"/>
      <c r="B81" s="37">
        <v>1</v>
      </c>
      <c r="D81" s="79" t="str">
        <f>IF(D61&gt;0, IF(D40&gt;0, IF(D61&gt;D40, $A$67, $H$37), "X"), "X")</f>
        <v>X</v>
      </c>
      <c r="E81" s="80" t="str">
        <f t="shared" ref="E81:P81" si="0">IF(E61&gt;0, IF(E40&gt;0, IF(E61&gt;E40, $A$67, $H$37), "X"), "X")</f>
        <v>X</v>
      </c>
      <c r="F81" s="80" t="str">
        <f t="shared" si="0"/>
        <v>X</v>
      </c>
      <c r="G81" s="80" t="str">
        <f t="shared" si="0"/>
        <v>X</v>
      </c>
      <c r="H81" s="80" t="str">
        <f t="shared" si="0"/>
        <v>X</v>
      </c>
      <c r="I81" s="80" t="str">
        <f t="shared" si="0"/>
        <v>X</v>
      </c>
      <c r="J81" s="80" t="str">
        <f t="shared" si="0"/>
        <v>X</v>
      </c>
      <c r="K81" s="80" t="str">
        <f t="shared" si="0"/>
        <v>X</v>
      </c>
      <c r="L81" s="80" t="str">
        <f t="shared" si="0"/>
        <v>X</v>
      </c>
      <c r="M81" s="80" t="str">
        <f t="shared" si="0"/>
        <v>X</v>
      </c>
      <c r="N81" s="80" t="str">
        <f t="shared" si="0"/>
        <v>X</v>
      </c>
      <c r="O81" s="80" t="str">
        <f t="shared" si="0"/>
        <v>X</v>
      </c>
      <c r="P81" s="81" t="str">
        <f t="shared" si="0"/>
        <v>X</v>
      </c>
    </row>
    <row r="82" spans="1:16" x14ac:dyDescent="0.2">
      <c r="A82" s="60"/>
      <c r="B82" s="37">
        <v>2</v>
      </c>
      <c r="D82" s="82" t="str">
        <f t="shared" ref="D82:P93" si="1">IF(D62&gt;0, IF(D41&gt;0, IF(D62&gt;D41, $A$67, $H$37), "X"), "X")</f>
        <v>X</v>
      </c>
      <c r="E82" s="39" t="str">
        <f t="shared" si="1"/>
        <v>X</v>
      </c>
      <c r="F82" s="39" t="str">
        <f t="shared" si="1"/>
        <v>X</v>
      </c>
      <c r="G82" s="39" t="str">
        <f t="shared" si="1"/>
        <v>X</v>
      </c>
      <c r="H82" s="39" t="str">
        <f t="shared" si="1"/>
        <v>X</v>
      </c>
      <c r="I82" s="39" t="str">
        <f t="shared" si="1"/>
        <v>X</v>
      </c>
      <c r="J82" s="39" t="str">
        <f t="shared" si="1"/>
        <v>X</v>
      </c>
      <c r="K82" s="39" t="str">
        <f t="shared" si="1"/>
        <v>X</v>
      </c>
      <c r="L82" s="39" t="str">
        <f t="shared" si="1"/>
        <v>X</v>
      </c>
      <c r="M82" s="39" t="str">
        <f t="shared" si="1"/>
        <v>X</v>
      </c>
      <c r="N82" s="39" t="str">
        <f t="shared" si="1"/>
        <v>X</v>
      </c>
      <c r="O82" s="39" t="str">
        <f t="shared" si="1"/>
        <v>X</v>
      </c>
      <c r="P82" s="83" t="str">
        <f t="shared" si="1"/>
        <v>X</v>
      </c>
    </row>
    <row r="83" spans="1:16" x14ac:dyDescent="0.2">
      <c r="A83" s="60"/>
      <c r="B83" s="37">
        <v>3</v>
      </c>
      <c r="D83" s="82" t="str">
        <f t="shared" si="1"/>
        <v>X</v>
      </c>
      <c r="E83" s="39" t="str">
        <f t="shared" si="1"/>
        <v>X</v>
      </c>
      <c r="F83" s="39" t="str">
        <f t="shared" si="1"/>
        <v>X</v>
      </c>
      <c r="G83" s="39" t="str">
        <f t="shared" si="1"/>
        <v>X</v>
      </c>
      <c r="H83" s="39" t="str">
        <f t="shared" si="1"/>
        <v>X</v>
      </c>
      <c r="I83" s="39" t="str">
        <f t="shared" si="1"/>
        <v>X</v>
      </c>
      <c r="J83" s="39" t="str">
        <f t="shared" si="1"/>
        <v>X</v>
      </c>
      <c r="K83" s="39" t="str">
        <f t="shared" si="1"/>
        <v>X</v>
      </c>
      <c r="L83" s="39" t="str">
        <f t="shared" si="1"/>
        <v>X</v>
      </c>
      <c r="M83" s="39" t="str">
        <f t="shared" si="1"/>
        <v>X</v>
      </c>
      <c r="N83" s="39" t="str">
        <f t="shared" si="1"/>
        <v>X</v>
      </c>
      <c r="O83" s="39" t="str">
        <f t="shared" si="1"/>
        <v>X</v>
      </c>
      <c r="P83" s="83" t="str">
        <f t="shared" si="1"/>
        <v>X</v>
      </c>
    </row>
    <row r="84" spans="1:16" x14ac:dyDescent="0.2">
      <c r="A84" s="60"/>
      <c r="B84" s="37">
        <v>4</v>
      </c>
      <c r="D84" s="82" t="str">
        <f t="shared" si="1"/>
        <v>X</v>
      </c>
      <c r="E84" s="39" t="str">
        <f t="shared" si="1"/>
        <v>X</v>
      </c>
      <c r="F84" s="39" t="str">
        <f t="shared" si="1"/>
        <v>X</v>
      </c>
      <c r="G84" s="39" t="str">
        <f t="shared" si="1"/>
        <v>X</v>
      </c>
      <c r="H84" s="39" t="str">
        <f t="shared" si="1"/>
        <v>X</v>
      </c>
      <c r="I84" s="39" t="str">
        <f t="shared" si="1"/>
        <v>X</v>
      </c>
      <c r="J84" s="39" t="str">
        <f t="shared" si="1"/>
        <v>X</v>
      </c>
      <c r="K84" s="39" t="str">
        <f t="shared" si="1"/>
        <v>X</v>
      </c>
      <c r="L84" s="39" t="str">
        <f t="shared" si="1"/>
        <v>X</v>
      </c>
      <c r="M84" s="39" t="str">
        <f t="shared" si="1"/>
        <v>X</v>
      </c>
      <c r="N84" s="39" t="str">
        <f t="shared" si="1"/>
        <v>X</v>
      </c>
      <c r="O84" s="39" t="str">
        <f t="shared" si="1"/>
        <v>X</v>
      </c>
      <c r="P84" s="83" t="str">
        <f t="shared" si="1"/>
        <v>X</v>
      </c>
    </row>
    <row r="85" spans="1:16" x14ac:dyDescent="0.2">
      <c r="A85" s="60"/>
      <c r="B85" s="37">
        <v>5</v>
      </c>
      <c r="D85" s="82" t="str">
        <f t="shared" si="1"/>
        <v>X</v>
      </c>
      <c r="E85" s="39" t="str">
        <f t="shared" si="1"/>
        <v>X</v>
      </c>
      <c r="F85" s="39" t="str">
        <f t="shared" si="1"/>
        <v>X</v>
      </c>
      <c r="G85" s="39" t="str">
        <f t="shared" si="1"/>
        <v>X</v>
      </c>
      <c r="H85" s="39" t="str">
        <f t="shared" si="1"/>
        <v>X</v>
      </c>
      <c r="I85" s="39" t="str">
        <f t="shared" si="1"/>
        <v>X</v>
      </c>
      <c r="J85" s="39" t="str">
        <f t="shared" si="1"/>
        <v>X</v>
      </c>
      <c r="K85" s="39" t="str">
        <f t="shared" si="1"/>
        <v>X</v>
      </c>
      <c r="L85" s="39" t="str">
        <f t="shared" si="1"/>
        <v>X</v>
      </c>
      <c r="M85" s="39" t="str">
        <f t="shared" si="1"/>
        <v>X</v>
      </c>
      <c r="N85" s="39" t="str">
        <f t="shared" si="1"/>
        <v>X</v>
      </c>
      <c r="O85" s="39" t="str">
        <f t="shared" si="1"/>
        <v>X</v>
      </c>
      <c r="P85" s="83" t="str">
        <f t="shared" si="1"/>
        <v>X</v>
      </c>
    </row>
    <row r="86" spans="1:16" x14ac:dyDescent="0.2">
      <c r="A86" s="60"/>
      <c r="B86" s="37">
        <v>6</v>
      </c>
      <c r="D86" s="82" t="str">
        <f t="shared" si="1"/>
        <v>X</v>
      </c>
      <c r="E86" s="39" t="str">
        <f t="shared" si="1"/>
        <v>X</v>
      </c>
      <c r="F86" s="39" t="str">
        <f t="shared" si="1"/>
        <v>X</v>
      </c>
      <c r="G86" s="39" t="str">
        <f t="shared" si="1"/>
        <v>X</v>
      </c>
      <c r="H86" s="39" t="str">
        <f t="shared" si="1"/>
        <v>X</v>
      </c>
      <c r="I86" s="39" t="str">
        <f t="shared" si="1"/>
        <v>X</v>
      </c>
      <c r="J86" s="39" t="str">
        <f t="shared" si="1"/>
        <v>X</v>
      </c>
      <c r="K86" s="39" t="str">
        <f t="shared" si="1"/>
        <v>X</v>
      </c>
      <c r="L86" s="39" t="str">
        <f t="shared" si="1"/>
        <v>X</v>
      </c>
      <c r="M86" s="39" t="str">
        <f t="shared" si="1"/>
        <v>X</v>
      </c>
      <c r="N86" s="39" t="str">
        <f t="shared" si="1"/>
        <v>X</v>
      </c>
      <c r="O86" s="39" t="str">
        <f t="shared" si="1"/>
        <v>X</v>
      </c>
      <c r="P86" s="83" t="str">
        <f t="shared" si="1"/>
        <v>X</v>
      </c>
    </row>
    <row r="87" spans="1:16" x14ac:dyDescent="0.2">
      <c r="A87" s="60" t="str">
        <f>B9</f>
        <v>76ers</v>
      </c>
      <c r="B87" s="37">
        <v>7</v>
      </c>
      <c r="D87" s="82" t="str">
        <f t="shared" si="1"/>
        <v>X</v>
      </c>
      <c r="E87" s="39" t="str">
        <f t="shared" si="1"/>
        <v>X</v>
      </c>
      <c r="F87" s="39" t="str">
        <f t="shared" si="1"/>
        <v>X</v>
      </c>
      <c r="G87" s="39" t="str">
        <f t="shared" si="1"/>
        <v>X</v>
      </c>
      <c r="H87" s="39" t="str">
        <f t="shared" si="1"/>
        <v>X</v>
      </c>
      <c r="I87" s="39" t="str">
        <f t="shared" si="1"/>
        <v>X</v>
      </c>
      <c r="J87" s="39" t="str">
        <f t="shared" si="1"/>
        <v>X</v>
      </c>
      <c r="K87" s="39" t="str">
        <f t="shared" si="1"/>
        <v>X</v>
      </c>
      <c r="L87" s="39" t="str">
        <f t="shared" si="1"/>
        <v>X</v>
      </c>
      <c r="M87" s="39" t="str">
        <f t="shared" si="1"/>
        <v>X</v>
      </c>
      <c r="N87" s="39" t="str">
        <f t="shared" si="1"/>
        <v>X</v>
      </c>
      <c r="O87" s="39" t="str">
        <f t="shared" si="1"/>
        <v>X</v>
      </c>
      <c r="P87" s="83" t="str">
        <f t="shared" si="1"/>
        <v>X</v>
      </c>
    </row>
    <row r="88" spans="1:16" x14ac:dyDescent="0.2">
      <c r="A88" s="60"/>
      <c r="B88" s="37">
        <v>8</v>
      </c>
      <c r="D88" s="82" t="str">
        <f t="shared" si="1"/>
        <v>X</v>
      </c>
      <c r="E88" s="39" t="str">
        <f t="shared" si="1"/>
        <v>X</v>
      </c>
      <c r="F88" s="39" t="str">
        <f t="shared" si="1"/>
        <v>X</v>
      </c>
      <c r="G88" s="39" t="str">
        <f t="shared" si="1"/>
        <v>X</v>
      </c>
      <c r="H88" s="39" t="str">
        <f t="shared" si="1"/>
        <v>X</v>
      </c>
      <c r="I88" s="39" t="str">
        <f t="shared" si="1"/>
        <v>X</v>
      </c>
      <c r="J88" s="39" t="str">
        <f t="shared" si="1"/>
        <v>X</v>
      </c>
      <c r="K88" s="39" t="str">
        <f t="shared" si="1"/>
        <v>X</v>
      </c>
      <c r="L88" s="39" t="str">
        <f t="shared" si="1"/>
        <v>X</v>
      </c>
      <c r="M88" s="39" t="str">
        <f t="shared" si="1"/>
        <v>X</v>
      </c>
      <c r="N88" s="39" t="str">
        <f t="shared" si="1"/>
        <v>X</v>
      </c>
      <c r="O88" s="39" t="str">
        <f t="shared" si="1"/>
        <v>X</v>
      </c>
      <c r="P88" s="83" t="str">
        <f t="shared" si="1"/>
        <v>X</v>
      </c>
    </row>
    <row r="89" spans="1:16" x14ac:dyDescent="0.2">
      <c r="A89" s="60"/>
      <c r="B89" s="37">
        <v>9</v>
      </c>
      <c r="D89" s="82" t="str">
        <f t="shared" si="1"/>
        <v>X</v>
      </c>
      <c r="E89" s="39" t="str">
        <f t="shared" si="1"/>
        <v>X</v>
      </c>
      <c r="F89" s="39" t="str">
        <f t="shared" si="1"/>
        <v>X</v>
      </c>
      <c r="G89" s="39" t="str">
        <f t="shared" si="1"/>
        <v>X</v>
      </c>
      <c r="H89" s="39" t="str">
        <f t="shared" si="1"/>
        <v>X</v>
      </c>
      <c r="I89" s="39" t="str">
        <f t="shared" si="1"/>
        <v>X</v>
      </c>
      <c r="J89" s="39" t="str">
        <f t="shared" si="1"/>
        <v>X</v>
      </c>
      <c r="K89" s="39" t="str">
        <f t="shared" si="1"/>
        <v>X</v>
      </c>
      <c r="L89" s="39" t="str">
        <f t="shared" si="1"/>
        <v>X</v>
      </c>
      <c r="M89" s="39" t="str">
        <f t="shared" si="1"/>
        <v>X</v>
      </c>
      <c r="N89" s="39" t="str">
        <f t="shared" si="1"/>
        <v>X</v>
      </c>
      <c r="O89" s="39" t="str">
        <f t="shared" si="1"/>
        <v>X</v>
      </c>
      <c r="P89" s="83" t="str">
        <f t="shared" si="1"/>
        <v>X</v>
      </c>
    </row>
    <row r="90" spans="1:16" x14ac:dyDescent="0.2">
      <c r="A90" s="60"/>
      <c r="B90" s="37">
        <v>10</v>
      </c>
      <c r="D90" s="82" t="str">
        <f t="shared" si="1"/>
        <v>X</v>
      </c>
      <c r="E90" s="39" t="str">
        <f t="shared" si="1"/>
        <v>X</v>
      </c>
      <c r="F90" s="39" t="str">
        <f t="shared" si="1"/>
        <v>X</v>
      </c>
      <c r="G90" s="39" t="str">
        <f t="shared" si="1"/>
        <v>X</v>
      </c>
      <c r="H90" s="39" t="str">
        <f t="shared" si="1"/>
        <v>X</v>
      </c>
      <c r="I90" s="39" t="str">
        <f t="shared" si="1"/>
        <v>X</v>
      </c>
      <c r="J90" s="39" t="str">
        <f t="shared" si="1"/>
        <v>X</v>
      </c>
      <c r="K90" s="39" t="str">
        <f t="shared" si="1"/>
        <v>X</v>
      </c>
      <c r="L90" s="39" t="str">
        <f t="shared" si="1"/>
        <v>X</v>
      </c>
      <c r="M90" s="39" t="str">
        <f t="shared" si="1"/>
        <v>X</v>
      </c>
      <c r="N90" s="39" t="str">
        <f t="shared" si="1"/>
        <v>X</v>
      </c>
      <c r="O90" s="39" t="str">
        <f t="shared" si="1"/>
        <v>X</v>
      </c>
      <c r="P90" s="83" t="str">
        <f t="shared" si="1"/>
        <v>X</v>
      </c>
    </row>
    <row r="91" spans="1:16" x14ac:dyDescent="0.2">
      <c r="A91" s="60"/>
      <c r="B91" s="37">
        <v>11</v>
      </c>
      <c r="D91" s="82" t="str">
        <f t="shared" si="1"/>
        <v>X</v>
      </c>
      <c r="E91" s="39" t="str">
        <f t="shared" si="1"/>
        <v>X</v>
      </c>
      <c r="F91" s="39" t="str">
        <f t="shared" si="1"/>
        <v>X</v>
      </c>
      <c r="G91" s="39" t="str">
        <f t="shared" si="1"/>
        <v>X</v>
      </c>
      <c r="H91" s="39" t="str">
        <f t="shared" si="1"/>
        <v>X</v>
      </c>
      <c r="I91" s="39" t="str">
        <f t="shared" si="1"/>
        <v>X</v>
      </c>
      <c r="J91" s="39" t="str">
        <f t="shared" si="1"/>
        <v>X</v>
      </c>
      <c r="K91" s="39" t="str">
        <f t="shared" si="1"/>
        <v>X</v>
      </c>
      <c r="L91" s="39" t="str">
        <f t="shared" si="1"/>
        <v>X</v>
      </c>
      <c r="M91" s="39" t="str">
        <f t="shared" si="1"/>
        <v>X</v>
      </c>
      <c r="N91" s="39" t="str">
        <f t="shared" si="1"/>
        <v>X</v>
      </c>
      <c r="O91" s="39" t="str">
        <f t="shared" si="1"/>
        <v>X</v>
      </c>
      <c r="P91" s="83" t="str">
        <f t="shared" si="1"/>
        <v>X</v>
      </c>
    </row>
    <row r="92" spans="1:16" x14ac:dyDescent="0.2">
      <c r="A92" s="60"/>
      <c r="B92" s="37">
        <v>12</v>
      </c>
      <c r="D92" s="82" t="str">
        <f t="shared" si="1"/>
        <v>X</v>
      </c>
      <c r="E92" s="39" t="str">
        <f t="shared" si="1"/>
        <v>X</v>
      </c>
      <c r="F92" s="39" t="str">
        <f t="shared" si="1"/>
        <v>X</v>
      </c>
      <c r="G92" s="39" t="str">
        <f t="shared" si="1"/>
        <v>X</v>
      </c>
      <c r="H92" s="39" t="str">
        <f t="shared" si="1"/>
        <v>X</v>
      </c>
      <c r="I92" s="39" t="str">
        <f t="shared" si="1"/>
        <v>X</v>
      </c>
      <c r="J92" s="39" t="str">
        <f t="shared" si="1"/>
        <v>X</v>
      </c>
      <c r="K92" s="39" t="str">
        <f t="shared" si="1"/>
        <v>X</v>
      </c>
      <c r="L92" s="39" t="str">
        <f t="shared" si="1"/>
        <v>X</v>
      </c>
      <c r="M92" s="39" t="str">
        <f t="shared" si="1"/>
        <v>X</v>
      </c>
      <c r="N92" s="39" t="str">
        <f t="shared" si="1"/>
        <v>X</v>
      </c>
      <c r="O92" s="39" t="str">
        <f t="shared" si="1"/>
        <v>X</v>
      </c>
      <c r="P92" s="83" t="str">
        <f t="shared" si="1"/>
        <v>X</v>
      </c>
    </row>
    <row r="93" spans="1:16" x14ac:dyDescent="0.2">
      <c r="A93" s="60"/>
      <c r="B93" s="37">
        <v>13</v>
      </c>
      <c r="D93" s="84" t="str">
        <f t="shared" si="1"/>
        <v>X</v>
      </c>
      <c r="E93" s="85" t="str">
        <f t="shared" si="1"/>
        <v>X</v>
      </c>
      <c r="F93" s="85" t="str">
        <f t="shared" si="1"/>
        <v>X</v>
      </c>
      <c r="G93" s="85" t="str">
        <f t="shared" si="1"/>
        <v>X</v>
      </c>
      <c r="H93" s="85" t="str">
        <f t="shared" si="1"/>
        <v>X</v>
      </c>
      <c r="I93" s="85" t="str">
        <f t="shared" si="1"/>
        <v>X</v>
      </c>
      <c r="J93" s="85" t="str">
        <f t="shared" si="1"/>
        <v>X</v>
      </c>
      <c r="K93" s="85" t="str">
        <f t="shared" si="1"/>
        <v>X</v>
      </c>
      <c r="L93" s="85" t="str">
        <f t="shared" si="1"/>
        <v>X</v>
      </c>
      <c r="M93" s="85" t="str">
        <f t="shared" si="1"/>
        <v>X</v>
      </c>
      <c r="N93" s="85" t="str">
        <f t="shared" si="1"/>
        <v>X</v>
      </c>
      <c r="O93" s="85" t="str">
        <f t="shared" si="1"/>
        <v>X</v>
      </c>
      <c r="P93" s="86" t="str">
        <f t="shared" si="1"/>
        <v>X</v>
      </c>
    </row>
    <row r="94" spans="1:16" x14ac:dyDescent="0.2">
      <c r="D94" s="1">
        <f t="shared" ref="D94:P94" si="2">IF(D76&gt;0, IF(D53&gt;0, "X", -1), -1)</f>
        <v>-1</v>
      </c>
      <c r="E94" s="1">
        <f t="shared" si="2"/>
        <v>-1</v>
      </c>
      <c r="F94" s="1">
        <f t="shared" si="2"/>
        <v>-1</v>
      </c>
      <c r="G94" s="1">
        <f t="shared" si="2"/>
        <v>-1</v>
      </c>
      <c r="H94" s="1">
        <f t="shared" si="2"/>
        <v>-1</v>
      </c>
      <c r="I94" s="1">
        <f t="shared" si="2"/>
        <v>-1</v>
      </c>
      <c r="J94" s="1">
        <f t="shared" si="2"/>
        <v>-1</v>
      </c>
      <c r="K94" s="1">
        <f t="shared" si="2"/>
        <v>-1</v>
      </c>
      <c r="L94" s="1">
        <f t="shared" si="2"/>
        <v>-1</v>
      </c>
      <c r="M94" s="1">
        <f t="shared" si="2"/>
        <v>-1</v>
      </c>
      <c r="N94" s="1">
        <f t="shared" si="2"/>
        <v>-1</v>
      </c>
      <c r="O94" s="1">
        <f t="shared" si="2"/>
        <v>-1</v>
      </c>
      <c r="P94" s="1">
        <f t="shared" si="2"/>
        <v>-1</v>
      </c>
    </row>
  </sheetData>
  <mergeCells count="7">
    <mergeCell ref="A78:B78"/>
    <mergeCell ref="B20:E20"/>
    <mergeCell ref="B27:E27"/>
    <mergeCell ref="B35:P35"/>
    <mergeCell ref="B56:P56"/>
    <mergeCell ref="A58:B58"/>
    <mergeCell ref="B76:P76"/>
  </mergeCells>
  <conditionalFormatting sqref="H9:H10">
    <cfRule type="cellIs" dxfId="21" priority="19" operator="lessThan">
      <formula>0</formula>
    </cfRule>
    <cfRule type="cellIs" dxfId="20" priority="20" operator="greaterThan">
      <formula>0</formula>
    </cfRule>
  </conditionalFormatting>
  <conditionalFormatting sqref="H6:H7">
    <cfRule type="cellIs" dxfId="19" priority="21" operator="lessThan">
      <formula>0</formula>
    </cfRule>
    <cfRule type="cellIs" dxfId="18" priority="22" operator="greaterThan">
      <formula>0</formula>
    </cfRule>
  </conditionalFormatting>
  <conditionalFormatting sqref="D30:E31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D40:H44">
    <cfRule type="cellIs" dxfId="15" priority="16" operator="greaterThan">
      <formula>0</formula>
    </cfRule>
  </conditionalFormatting>
  <conditionalFormatting sqref="D42:D44">
    <cfRule type="cellIs" dxfId="14" priority="15" operator="lessThan">
      <formula>0</formula>
    </cfRule>
  </conditionalFormatting>
  <conditionalFormatting sqref="D40:P52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D61:H65">
    <cfRule type="cellIs" dxfId="11" priority="12" operator="greaterThan">
      <formula>0</formula>
    </cfRule>
  </conditionalFormatting>
  <conditionalFormatting sqref="D63:D65">
    <cfRule type="cellIs" dxfId="10" priority="11" operator="lessThan">
      <formula>0</formula>
    </cfRule>
  </conditionalFormatting>
  <conditionalFormatting sqref="D61:P75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D81:P94">
    <cfRule type="cellIs" dxfId="7" priority="8" operator="lessThan">
      <formula>0</formula>
    </cfRule>
  </conditionalFormatting>
  <conditionalFormatting sqref="D81:P93">
    <cfRule type="cellIs" dxfId="6" priority="1" operator="equal">
      <formula>$H$78</formula>
    </cfRule>
    <cfRule type="cellIs" dxfId="5" priority="4" operator="equal">
      <formula>"X"</formula>
    </cfRule>
    <cfRule type="cellIs" dxfId="4" priority="5" operator="equal">
      <formula>"X"</formula>
    </cfRule>
    <cfRule type="cellIs" dxfId="3" priority="6" operator="lessThan">
      <formula>0</formula>
    </cfRule>
    <cfRule type="cellIs" dxfId="2" priority="7" operator="lessThan">
      <formula>0</formula>
    </cfRule>
  </conditionalFormatting>
  <dataValidations count="1">
    <dataValidation type="list" allowBlank="1" showInputMessage="1" showErrorMessage="1" sqref="I6:I7 I9:I10" xr:uid="{9DFED327-9D4E-7941-A433-9D1C66B598EE}">
      <formula1>"Winning Bet, Losing Bet, No Bet"</formula1>
    </dataValidation>
  </dataValidations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croll Bar 1">
              <controlPr defaultSize="0" autoPict="0">
                <anchor moveWithCells="1">
                  <from>
                    <xdr:col>1</xdr:col>
                    <xdr:colOff>177800</xdr:colOff>
                    <xdr:row>5</xdr:row>
                    <xdr:rowOff>88900</xdr:rowOff>
                  </from>
                  <to>
                    <xdr:col>1</xdr:col>
                    <xdr:colOff>2717800</xdr:colOff>
                    <xdr:row>5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Scroll Bar 2">
              <controlPr defaultSize="0" autoPict="0">
                <anchor moveWithCells="1">
                  <from>
                    <xdr:col>1</xdr:col>
                    <xdr:colOff>215900</xdr:colOff>
                    <xdr:row>6</xdr:row>
                    <xdr:rowOff>88900</xdr:rowOff>
                  </from>
                  <to>
                    <xdr:col>1</xdr:col>
                    <xdr:colOff>2755900</xdr:colOff>
                    <xdr:row>6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Scroll Bar 3">
              <controlPr defaultSize="0" autoPict="0">
                <anchor moveWithCells="1">
                  <from>
                    <xdr:col>1</xdr:col>
                    <xdr:colOff>215900</xdr:colOff>
                    <xdr:row>8</xdr:row>
                    <xdr:rowOff>88900</xdr:rowOff>
                  </from>
                  <to>
                    <xdr:col>1</xdr:col>
                    <xdr:colOff>2755900</xdr:colOff>
                    <xdr:row>8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Scroll Bar 4">
              <controlPr defaultSize="0" autoPict="0">
                <anchor moveWithCells="1">
                  <from>
                    <xdr:col>1</xdr:col>
                    <xdr:colOff>215900</xdr:colOff>
                    <xdr:row>9</xdr:row>
                    <xdr:rowOff>88900</xdr:rowOff>
                  </from>
                  <to>
                    <xdr:col>1</xdr:col>
                    <xdr:colOff>2755900</xdr:colOff>
                    <xdr:row>9</xdr:row>
                    <xdr:rowOff>469900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4232EF7-691F-8A46-99A9-BD969852A540}">
            <xm:f>NOT(ISERROR(SEARCH($A$87,D81)))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D81:P93</xm:sqref>
        </x14:conditionalFormatting>
        <x14:conditionalFormatting xmlns:xm="http://schemas.microsoft.com/office/excel/2006/main">
          <x14:cfRule type="containsText" priority="3" operator="containsText" id="{BBE8FFE9-5E1D-A94A-B669-DC1B1012D710}">
            <xm:f>NOT(ISERROR(SEARCH($A$87,K97)))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FA16-F478-C04C-A799-852FACA57834}">
  <dimension ref="A4:P94"/>
  <sheetViews>
    <sheetView topLeftCell="A4" zoomScale="117" zoomScaleNormal="55" workbookViewId="0">
      <selection activeCell="D30" sqref="D30"/>
    </sheetView>
  </sheetViews>
  <sheetFormatPr baseColWidth="10" defaultColWidth="8.83203125" defaultRowHeight="15" x14ac:dyDescent="0.2"/>
  <cols>
    <col min="1" max="1" width="18.6640625" customWidth="1"/>
    <col min="2" max="2" width="40.6640625" customWidth="1"/>
    <col min="3" max="3" width="0" hidden="1" customWidth="1"/>
    <col min="4" max="6" width="18.6640625" bestFit="1" customWidth="1"/>
    <col min="7" max="7" width="22.33203125" bestFit="1" customWidth="1"/>
    <col min="8" max="16" width="18.6640625" bestFit="1" customWidth="1"/>
    <col min="17" max="21" width="17.6640625" customWidth="1"/>
  </cols>
  <sheetData>
    <row r="4" spans="1:9" ht="16" thickBot="1" x14ac:dyDescent="0.25">
      <c r="B4" s="77">
        <v>1</v>
      </c>
      <c r="C4" s="77"/>
      <c r="D4" s="77">
        <v>2</v>
      </c>
      <c r="E4" s="77">
        <v>3</v>
      </c>
      <c r="F4" s="77">
        <v>4</v>
      </c>
      <c r="G4" s="77">
        <v>5</v>
      </c>
      <c r="H4" s="77">
        <v>6</v>
      </c>
      <c r="I4" s="77">
        <v>7</v>
      </c>
    </row>
    <row r="5" spans="1:9" ht="16" thickBot="1" x14ac:dyDescent="0.25">
      <c r="B5" s="76" t="s">
        <v>39</v>
      </c>
      <c r="C5" s="75" t="s">
        <v>1</v>
      </c>
      <c r="D5" s="23" t="s">
        <v>2</v>
      </c>
      <c r="E5" s="23" t="s">
        <v>46</v>
      </c>
      <c r="F5" s="23" t="s">
        <v>32</v>
      </c>
      <c r="G5" s="23" t="s">
        <v>58</v>
      </c>
      <c r="H5" s="23" t="s">
        <v>45</v>
      </c>
      <c r="I5" s="24" t="s">
        <v>33</v>
      </c>
    </row>
    <row r="6" spans="1:9" x14ac:dyDescent="0.2">
      <c r="A6" t="s">
        <v>88</v>
      </c>
      <c r="B6" s="100" t="s">
        <v>82</v>
      </c>
      <c r="C6" s="101"/>
      <c r="D6" s="102">
        <v>-170</v>
      </c>
      <c r="E6" s="9">
        <f>IF(D6&lt;0,ABS(D6)/(ABS(D6)+100), 100/ (D6 +100 ))</f>
        <v>0.62962962962962965</v>
      </c>
      <c r="F6" s="10">
        <f>IF(D6&gt;0, ABS(D6/100), ABS(100/D6))</f>
        <v>0.58823529411764708</v>
      </c>
      <c r="G6" s="8">
        <f>2+4+12</f>
        <v>18</v>
      </c>
      <c r="H6" s="11">
        <f>IF(I6 = "Winning Bet", G6*F6+G6, IF(I6 = "Losing Bet", -G6, 0))</f>
        <v>28.588235294117645</v>
      </c>
      <c r="I6" s="12" t="s">
        <v>34</v>
      </c>
    </row>
    <row r="7" spans="1:9" x14ac:dyDescent="0.2">
      <c r="A7" t="s">
        <v>89</v>
      </c>
      <c r="B7" s="103" t="s">
        <v>83</v>
      </c>
      <c r="C7" s="104"/>
      <c r="D7" s="105">
        <v>145</v>
      </c>
      <c r="E7" s="9">
        <f>IF(D7&lt;0,ABS(D7)/(ABS(D7)+100), 100/ (D7 +100 ))</f>
        <v>0.40816326530612246</v>
      </c>
      <c r="F7" s="10">
        <f>IF(D7&gt;0, ABS(D7/100), ABS(100/D7))</f>
        <v>1.45</v>
      </c>
      <c r="G7" s="18">
        <f>4+8+24</f>
        <v>36</v>
      </c>
      <c r="H7" s="19">
        <f>G7*(D7/100)+G7</f>
        <v>88.199999999999989</v>
      </c>
      <c r="I7" s="20" t="s">
        <v>36</v>
      </c>
    </row>
    <row r="8" spans="1:9" x14ac:dyDescent="0.2">
      <c r="B8" s="106"/>
      <c r="C8" s="106"/>
      <c r="D8" s="106"/>
    </row>
    <row r="9" spans="1:9" x14ac:dyDescent="0.2">
      <c r="A9" t="s">
        <v>90</v>
      </c>
      <c r="B9" s="100" t="s">
        <v>85</v>
      </c>
      <c r="C9" s="101"/>
      <c r="D9" s="102">
        <v>160</v>
      </c>
      <c r="E9" s="9">
        <f>IF(D9&lt;0,ABS(D9)/(ABS(D9)+100), 100/ (D9 +100 ))</f>
        <v>0.38461538461538464</v>
      </c>
      <c r="F9" s="10">
        <f>IF(D9&gt;0, ABS(D9/100), ABS(100/D9))</f>
        <v>1.6</v>
      </c>
      <c r="G9" s="8">
        <f>3+6+18</f>
        <v>27</v>
      </c>
      <c r="H9" s="11">
        <f>G9*(D9/100)+G9</f>
        <v>70.2</v>
      </c>
      <c r="I9" s="12" t="s">
        <v>34</v>
      </c>
    </row>
    <row r="10" spans="1:9" x14ac:dyDescent="0.2">
      <c r="A10" t="s">
        <v>91</v>
      </c>
      <c r="B10" s="103" t="s">
        <v>86</v>
      </c>
      <c r="C10" s="104"/>
      <c r="D10" s="105">
        <v>-185</v>
      </c>
      <c r="E10" s="9">
        <f>IF(D10&lt;0,ABS(D10)/(ABS(D10)+100), 100/ (D10 +100 ))</f>
        <v>0.64912280701754388</v>
      </c>
      <c r="F10" s="10">
        <f>IF(D10&gt;0, ABS(D10/100), ABS(100/D10))</f>
        <v>0.54054054054054057</v>
      </c>
      <c r="G10" s="18">
        <f>3+6+18</f>
        <v>27</v>
      </c>
      <c r="H10" s="19">
        <f>IF(I10 = "Winning Bet", G10*F10+G10, IF(I10 = "Losing Bet", -G10, 0))</f>
        <v>41.594594594594597</v>
      </c>
      <c r="I10" s="20" t="s">
        <v>34</v>
      </c>
    </row>
    <row r="14" spans="1:9" x14ac:dyDescent="0.2">
      <c r="B14" s="107" t="s">
        <v>84</v>
      </c>
      <c r="C14" s="108"/>
      <c r="D14" s="108"/>
      <c r="E14" s="109"/>
      <c r="G14">
        <f>G10+G9+G7+G6</f>
        <v>108</v>
      </c>
    </row>
    <row r="15" spans="1:9" x14ac:dyDescent="0.2">
      <c r="B15" s="48"/>
      <c r="C15" s="4"/>
      <c r="D15" s="4" t="str">
        <f>B9</f>
        <v>lakers</v>
      </c>
      <c r="E15" s="49" t="str">
        <f>B10</f>
        <v>warriors</v>
      </c>
      <c r="I15">
        <v>46.8</v>
      </c>
    </row>
    <row r="16" spans="1:9" x14ac:dyDescent="0.2">
      <c r="B16" s="48" t="str">
        <f>B6</f>
        <v>nuggest</v>
      </c>
      <c r="C16" s="4"/>
      <c r="D16" s="110">
        <f>E6*E9</f>
        <v>0.24216524216524218</v>
      </c>
      <c r="E16" s="111">
        <f>E10*E6</f>
        <v>0.40870695256660172</v>
      </c>
      <c r="I16">
        <v>15.6</v>
      </c>
    </row>
    <row r="17" spans="1:9" x14ac:dyDescent="0.2">
      <c r="B17" s="34" t="str">
        <f>B7</f>
        <v>suns</v>
      </c>
      <c r="C17" s="3"/>
      <c r="D17" s="112">
        <f>E7*E9</f>
        <v>0.15698587127158556</v>
      </c>
      <c r="E17" s="113">
        <f>E7*E10</f>
        <v>0.26494808449695667</v>
      </c>
      <c r="I17">
        <v>7.8</v>
      </c>
    </row>
    <row r="18" spans="1:9" x14ac:dyDescent="0.2">
      <c r="I18">
        <f>SUM(I15:I17)</f>
        <v>70.2</v>
      </c>
    </row>
    <row r="20" spans="1:9" x14ac:dyDescent="0.2">
      <c r="B20" s="90" t="s">
        <v>75</v>
      </c>
      <c r="C20" s="99"/>
      <c r="D20" s="99"/>
      <c r="E20" s="91"/>
      <c r="I20">
        <v>3.18</v>
      </c>
    </row>
    <row r="21" spans="1:9" x14ac:dyDescent="0.2">
      <c r="B21" s="48"/>
      <c r="C21" s="4"/>
      <c r="D21" s="4"/>
      <c r="E21" s="49"/>
      <c r="G21" s="87"/>
      <c r="H21" s="87"/>
      <c r="I21">
        <v>19.059999999999999</v>
      </c>
    </row>
    <row r="22" spans="1:9" x14ac:dyDescent="0.2">
      <c r="B22" s="48"/>
      <c r="C22" s="4"/>
      <c r="D22" s="4" t="str">
        <f>B9</f>
        <v>lakers</v>
      </c>
      <c r="E22" s="49" t="str">
        <f>B10</f>
        <v>warriors</v>
      </c>
      <c r="G22" s="114"/>
      <c r="I22">
        <v>6.35</v>
      </c>
    </row>
    <row r="23" spans="1:9" x14ac:dyDescent="0.2">
      <c r="B23" s="48" t="str">
        <f>B6</f>
        <v>nuggest</v>
      </c>
      <c r="C23" s="4"/>
      <c r="D23" s="54">
        <f>IF(TRUE, G6*F6+G6, -G6) + IF(TRUE, G9*F9+G9, -G9 )</f>
        <v>98.788235294117641</v>
      </c>
      <c r="E23" s="55">
        <f>IF(TRUE, G6*F6+G6, -G6) + IF(TRUE, G10*F10+G10, -G10 )</f>
        <v>70.182829888712234</v>
      </c>
      <c r="G23">
        <v>305.69</v>
      </c>
      <c r="I23">
        <f>SUM(I20:I22)</f>
        <v>28.589999999999996</v>
      </c>
    </row>
    <row r="24" spans="1:9" x14ac:dyDescent="0.2">
      <c r="B24" s="34" t="str">
        <f>B7</f>
        <v>suns</v>
      </c>
      <c r="C24" s="3"/>
      <c r="D24" s="56">
        <f>IF(TRUE, G7*F7+G7, -G7) + IF(TRUE, G9*F9+G9, -G9 )</f>
        <v>158.39999999999998</v>
      </c>
      <c r="E24" s="57">
        <f>IF(TRUE, G7*F7+G7, -G7) + IF(TRUE, G10*F10+G10, -G10 )</f>
        <v>129.79459459459457</v>
      </c>
      <c r="G24">
        <v>296.75</v>
      </c>
    </row>
    <row r="25" spans="1:9" x14ac:dyDescent="0.2">
      <c r="G25">
        <f>G23-G24-0.27</f>
        <v>8.6699999999999982</v>
      </c>
      <c r="I25">
        <f>I18+I23-G10-G7</f>
        <v>35.789999999999992</v>
      </c>
    </row>
    <row r="27" spans="1:9" x14ac:dyDescent="0.2">
      <c r="B27" s="90" t="s">
        <v>77</v>
      </c>
      <c r="C27" s="99"/>
      <c r="D27" s="99"/>
      <c r="E27" s="91"/>
    </row>
    <row r="28" spans="1:9" x14ac:dyDescent="0.2">
      <c r="B28" s="48" t="s">
        <v>76</v>
      </c>
      <c r="C28" s="4"/>
      <c r="D28" s="4" t="s">
        <v>90</v>
      </c>
      <c r="E28" s="49" t="s">
        <v>91</v>
      </c>
    </row>
    <row r="29" spans="1:9" x14ac:dyDescent="0.2">
      <c r="B29" s="48"/>
      <c r="C29" s="4"/>
      <c r="D29" s="4" t="str">
        <f>B9</f>
        <v>lakers</v>
      </c>
      <c r="E29" s="49" t="str">
        <f>B10</f>
        <v>warriors</v>
      </c>
    </row>
    <row r="30" spans="1:9" x14ac:dyDescent="0.2">
      <c r="A30" t="s">
        <v>88</v>
      </c>
      <c r="B30" s="48" t="str">
        <f>B6</f>
        <v>nuggest</v>
      </c>
      <c r="C30" s="4"/>
      <c r="D30" s="50">
        <f>H9+H6-G7-G10-G6-G9</f>
        <v>-9.2117647058823593</v>
      </c>
      <c r="E30" s="50">
        <f>H10+H6-G7-G9-G6-G10</f>
        <v>-37.817170111287766</v>
      </c>
    </row>
    <row r="31" spans="1:9" x14ac:dyDescent="0.2">
      <c r="A31" t="s">
        <v>89</v>
      </c>
      <c r="B31" s="34" t="str">
        <f>B7</f>
        <v>suns</v>
      </c>
      <c r="C31" s="3"/>
      <c r="D31" s="50">
        <f>H9+H7-G6-G9-G7-G10</f>
        <v>50.399999999999977</v>
      </c>
      <c r="E31" s="50">
        <f>H10+H7-G6-G10-G7-G9</f>
        <v>21.794594594594571</v>
      </c>
    </row>
    <row r="35" spans="1:16" ht="16" thickBot="1" x14ac:dyDescent="0.25">
      <c r="A35" s="37"/>
      <c r="B35" s="97" t="str">
        <f>B7</f>
        <v>suns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</row>
    <row r="36" spans="1:16" x14ac:dyDescent="0.2">
      <c r="A36" s="37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 spans="1:16" x14ac:dyDescent="0.2">
      <c r="A37" s="37"/>
      <c r="B37" s="36"/>
      <c r="C37" s="36"/>
      <c r="D37" s="36"/>
      <c r="E37" s="36"/>
      <c r="F37" s="37"/>
      <c r="G37" s="37"/>
      <c r="H37" s="37" t="str">
        <f>B7</f>
        <v>suns</v>
      </c>
      <c r="I37" s="37"/>
      <c r="J37" s="37"/>
      <c r="K37" s="37"/>
      <c r="L37" s="37"/>
      <c r="M37" s="37"/>
      <c r="N37" s="37"/>
      <c r="O37" s="37"/>
      <c r="P37" s="37"/>
    </row>
    <row r="38" spans="1:16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1:16" s="1" customFormat="1" x14ac:dyDescent="0.2">
      <c r="A39" s="37"/>
      <c r="B39" s="69">
        <f>E31</f>
        <v>21.794594594594571</v>
      </c>
      <c r="C39" s="37"/>
      <c r="D39" s="37">
        <v>1</v>
      </c>
      <c r="E39" s="37">
        <v>2</v>
      </c>
      <c r="F39" s="37">
        <v>3</v>
      </c>
      <c r="G39" s="37">
        <v>4</v>
      </c>
      <c r="H39" s="37">
        <v>5</v>
      </c>
      <c r="I39" s="37">
        <v>6</v>
      </c>
      <c r="J39" s="37">
        <v>7</v>
      </c>
      <c r="K39" s="37">
        <v>8</v>
      </c>
      <c r="L39" s="37">
        <v>9</v>
      </c>
      <c r="M39" s="37">
        <v>10</v>
      </c>
      <c r="N39" s="37">
        <v>11</v>
      </c>
      <c r="O39" s="37">
        <v>12</v>
      </c>
      <c r="P39" s="37">
        <v>13</v>
      </c>
    </row>
    <row r="40" spans="1:16" x14ac:dyDescent="0.2">
      <c r="A40" s="37"/>
      <c r="B40" s="37">
        <v>1</v>
      </c>
      <c r="C40" s="37">
        <f t="dataTable" ref="C40:P52" dt2D="1" dtr="1" r1="G7" r2="G9"/>
        <v>-4.4054054054054035</v>
      </c>
      <c r="D40" s="44">
        <v>-2.9554054054054006</v>
      </c>
      <c r="E40" s="38">
        <v>-1.5054054054054049</v>
      </c>
      <c r="F40" s="38">
        <v>-5.5405405405402064E-2</v>
      </c>
      <c r="G40" s="38">
        <v>1.3945945945945937</v>
      </c>
      <c r="H40" s="38">
        <v>2.8445945945945965</v>
      </c>
      <c r="I40" s="38">
        <v>4.2945945945945994</v>
      </c>
      <c r="J40" s="38">
        <v>5.7445945945945951</v>
      </c>
      <c r="K40" s="38">
        <v>7.1945945945945979</v>
      </c>
      <c r="L40" s="38">
        <v>8.6445945945945937</v>
      </c>
      <c r="M40" s="38">
        <v>10.094594594594597</v>
      </c>
      <c r="N40" s="38">
        <v>11.544594594594599</v>
      </c>
      <c r="O40" s="38">
        <v>12.994594594594588</v>
      </c>
      <c r="P40" s="12">
        <v>14.444594594594591</v>
      </c>
    </row>
    <row r="41" spans="1:16" x14ac:dyDescent="0.2">
      <c r="A41" s="37"/>
      <c r="B41" s="37">
        <v>2</v>
      </c>
      <c r="C41" s="37">
        <v>-5.4054054054054035</v>
      </c>
      <c r="D41" s="45">
        <v>-3.9554054054054006</v>
      </c>
      <c r="E41" s="39">
        <v>-2.5054054054054049</v>
      </c>
      <c r="F41" s="39">
        <v>-1.0554054054054021</v>
      </c>
      <c r="G41" s="39">
        <v>0.39459459459459367</v>
      </c>
      <c r="H41" s="39">
        <v>1.8445945945945965</v>
      </c>
      <c r="I41" s="39">
        <v>3.2945945945945994</v>
      </c>
      <c r="J41" s="39">
        <v>4.7445945945945951</v>
      </c>
      <c r="K41" s="39">
        <v>6.1945945945945979</v>
      </c>
      <c r="L41" s="39">
        <v>7.6445945945945937</v>
      </c>
      <c r="M41" s="39">
        <v>9.0945945945945965</v>
      </c>
      <c r="N41" s="39">
        <v>10.544594594594599</v>
      </c>
      <c r="O41" s="39">
        <v>11.994594594594588</v>
      </c>
      <c r="P41" s="46">
        <v>13.444594594594591</v>
      </c>
    </row>
    <row r="42" spans="1:16" x14ac:dyDescent="0.2">
      <c r="A42" s="37"/>
      <c r="B42" s="37">
        <v>3</v>
      </c>
      <c r="C42" s="37">
        <v>-6.4054054054054035</v>
      </c>
      <c r="D42" s="45">
        <v>-4.9554054054054006</v>
      </c>
      <c r="E42" s="39">
        <v>-3.5054054054054049</v>
      </c>
      <c r="F42" s="39">
        <v>-2.0554054054054021</v>
      </c>
      <c r="G42" s="39">
        <v>-0.60540540540540633</v>
      </c>
      <c r="H42" s="39">
        <v>0.84459459459459651</v>
      </c>
      <c r="I42" s="39">
        <v>2.2945945945945994</v>
      </c>
      <c r="J42" s="39">
        <v>3.7445945945945951</v>
      </c>
      <c r="K42" s="39">
        <v>5.1945945945945979</v>
      </c>
      <c r="L42" s="39">
        <v>6.6445945945945937</v>
      </c>
      <c r="M42" s="39">
        <v>8.0945945945945965</v>
      </c>
      <c r="N42" s="39">
        <v>9.5445945945945994</v>
      </c>
      <c r="O42" s="39">
        <v>10.994594594594588</v>
      </c>
      <c r="P42" s="46">
        <v>12.444594594594591</v>
      </c>
    </row>
    <row r="43" spans="1:16" x14ac:dyDescent="0.2">
      <c r="A43" s="37"/>
      <c r="B43" s="37">
        <v>4</v>
      </c>
      <c r="C43" s="37">
        <v>-7.4054054054054035</v>
      </c>
      <c r="D43" s="45">
        <v>-5.9554054054054006</v>
      </c>
      <c r="E43" s="39">
        <v>-4.5054054054054049</v>
      </c>
      <c r="F43" s="39">
        <v>-3.0554054054054021</v>
      </c>
      <c r="G43" s="39">
        <v>-1.6054054054054063</v>
      </c>
      <c r="H43" s="39">
        <v>-0.15540540540540349</v>
      </c>
      <c r="I43" s="39">
        <v>1.2945945945945994</v>
      </c>
      <c r="J43" s="39">
        <v>2.7445945945945951</v>
      </c>
      <c r="K43" s="39">
        <v>4.1945945945945979</v>
      </c>
      <c r="L43" s="39">
        <v>5.6445945945945937</v>
      </c>
      <c r="M43" s="39">
        <v>7.0945945945945965</v>
      </c>
      <c r="N43" s="39">
        <v>8.5445945945945994</v>
      </c>
      <c r="O43" s="39">
        <v>9.994594594594588</v>
      </c>
      <c r="P43" s="46">
        <v>11.444594594594591</v>
      </c>
    </row>
    <row r="44" spans="1:16" x14ac:dyDescent="0.2">
      <c r="A44" s="37"/>
      <c r="B44" s="37">
        <v>5</v>
      </c>
      <c r="C44" s="37">
        <v>-8.4054054054054035</v>
      </c>
      <c r="D44" s="45">
        <v>-6.9554054054054006</v>
      </c>
      <c r="E44" s="39">
        <v>-5.5054054054054049</v>
      </c>
      <c r="F44" s="39">
        <v>-4.0554054054054021</v>
      </c>
      <c r="G44" s="39">
        <v>-2.6054054054054063</v>
      </c>
      <c r="H44" s="39">
        <v>-1.1554054054054035</v>
      </c>
      <c r="I44" s="39">
        <v>0.29459459459459936</v>
      </c>
      <c r="J44" s="39">
        <v>1.7445945945945951</v>
      </c>
      <c r="K44" s="39">
        <v>3.1945945945945979</v>
      </c>
      <c r="L44" s="39">
        <v>4.6445945945945937</v>
      </c>
      <c r="M44" s="39">
        <v>6.0945945945945965</v>
      </c>
      <c r="N44" s="39">
        <v>7.5445945945945994</v>
      </c>
      <c r="O44" s="39">
        <v>8.994594594594588</v>
      </c>
      <c r="P44" s="46">
        <v>10.444594594594591</v>
      </c>
    </row>
    <row r="45" spans="1:16" x14ac:dyDescent="0.2">
      <c r="A45" s="37"/>
      <c r="B45" s="37">
        <v>6</v>
      </c>
      <c r="C45" s="37">
        <v>-9.4054054054054035</v>
      </c>
      <c r="D45" s="45">
        <v>-7.9554054054054006</v>
      </c>
      <c r="E45" s="39">
        <v>-6.5054054054054049</v>
      </c>
      <c r="F45" s="39">
        <v>-5.0554054054054021</v>
      </c>
      <c r="G45" s="39">
        <v>-3.6054054054054063</v>
      </c>
      <c r="H45" s="39">
        <v>-2.1554054054054035</v>
      </c>
      <c r="I45" s="39">
        <v>-0.70540540540540064</v>
      </c>
      <c r="J45" s="39">
        <v>0.74459459459459509</v>
      </c>
      <c r="K45" s="39">
        <v>2.1945945945945979</v>
      </c>
      <c r="L45" s="39">
        <v>3.6445945945945937</v>
      </c>
      <c r="M45" s="39">
        <v>5.0945945945945965</v>
      </c>
      <c r="N45" s="39">
        <v>6.5445945945945994</v>
      </c>
      <c r="O45" s="39">
        <v>7.994594594594588</v>
      </c>
      <c r="P45" s="46">
        <v>9.4445945945945908</v>
      </c>
    </row>
    <row r="46" spans="1:16" x14ac:dyDescent="0.2">
      <c r="A46" s="37" t="str">
        <f>B9</f>
        <v>lakers</v>
      </c>
      <c r="B46" s="37">
        <v>7</v>
      </c>
      <c r="C46" s="37">
        <v>-10.405405405405403</v>
      </c>
      <c r="D46" s="45">
        <v>-8.9554054054054006</v>
      </c>
      <c r="E46" s="39">
        <v>-7.5054054054054049</v>
      </c>
      <c r="F46" s="39">
        <v>-6.0554054054054021</v>
      </c>
      <c r="G46" s="39">
        <v>-4.6054054054054063</v>
      </c>
      <c r="H46" s="39">
        <v>-3.1554054054054035</v>
      </c>
      <c r="I46" s="39">
        <v>-1.7054054054054006</v>
      </c>
      <c r="J46" s="39">
        <v>-0.25540540540540491</v>
      </c>
      <c r="K46" s="39">
        <v>1.1945945945945979</v>
      </c>
      <c r="L46" s="39">
        <v>2.6445945945945937</v>
      </c>
      <c r="M46" s="39">
        <v>4.0945945945945965</v>
      </c>
      <c r="N46" s="39">
        <v>5.5445945945945994</v>
      </c>
      <c r="O46" s="39">
        <v>6.994594594594588</v>
      </c>
      <c r="P46" s="46">
        <v>8.4445945945945908</v>
      </c>
    </row>
    <row r="47" spans="1:16" x14ac:dyDescent="0.2">
      <c r="A47" s="37"/>
      <c r="B47" s="37">
        <v>8</v>
      </c>
      <c r="C47" s="37">
        <v>-11.405405405405403</v>
      </c>
      <c r="D47" s="45">
        <v>-9.9554054054054006</v>
      </c>
      <c r="E47" s="39">
        <v>-8.5054054054054049</v>
      </c>
      <c r="F47" s="39">
        <v>-7.0554054054054021</v>
      </c>
      <c r="G47" s="39">
        <v>-5.6054054054054063</v>
      </c>
      <c r="H47" s="39">
        <v>-4.1554054054054035</v>
      </c>
      <c r="I47" s="39">
        <v>-2.7054054054054006</v>
      </c>
      <c r="J47" s="39">
        <v>-1.2554054054054049</v>
      </c>
      <c r="K47" s="39">
        <v>0.19459459459459794</v>
      </c>
      <c r="L47" s="39">
        <v>1.6445945945945937</v>
      </c>
      <c r="M47" s="39">
        <v>3.0945945945945965</v>
      </c>
      <c r="N47" s="39">
        <v>4.5445945945945994</v>
      </c>
      <c r="O47" s="39">
        <v>5.994594594594588</v>
      </c>
      <c r="P47" s="46">
        <v>7.4445945945945908</v>
      </c>
    </row>
    <row r="48" spans="1:16" x14ac:dyDescent="0.2">
      <c r="A48" s="37"/>
      <c r="B48" s="37">
        <v>9</v>
      </c>
      <c r="C48" s="37">
        <v>-12.405405405405403</v>
      </c>
      <c r="D48" s="45">
        <v>-10.955405405405401</v>
      </c>
      <c r="E48" s="39">
        <v>-9.5054054054054049</v>
      </c>
      <c r="F48" s="39">
        <v>-8.0554054054054021</v>
      </c>
      <c r="G48" s="39">
        <v>-6.6054054054054063</v>
      </c>
      <c r="H48" s="39">
        <v>-5.1554054054054035</v>
      </c>
      <c r="I48" s="39">
        <v>-3.7054054054054006</v>
      </c>
      <c r="J48" s="39">
        <v>-2.2554054054054049</v>
      </c>
      <c r="K48" s="39">
        <v>-0.80540540540540206</v>
      </c>
      <c r="L48" s="39">
        <v>0.64459459459459367</v>
      </c>
      <c r="M48" s="39">
        <v>2.0945945945945965</v>
      </c>
      <c r="N48" s="39">
        <v>3.5445945945945994</v>
      </c>
      <c r="O48" s="39">
        <v>4.994594594594588</v>
      </c>
      <c r="P48" s="46">
        <v>6.4445945945945908</v>
      </c>
    </row>
    <row r="49" spans="1:16" x14ac:dyDescent="0.2">
      <c r="A49" s="37"/>
      <c r="B49" s="37">
        <v>10</v>
      </c>
      <c r="C49" s="37">
        <v>-13.405405405405403</v>
      </c>
      <c r="D49" s="45">
        <v>-11.955405405405401</v>
      </c>
      <c r="E49" s="39">
        <v>-10.505405405405405</v>
      </c>
      <c r="F49" s="39">
        <v>-9.0554054054054021</v>
      </c>
      <c r="G49" s="39">
        <v>-7.6054054054054063</v>
      </c>
      <c r="H49" s="39">
        <v>-6.1554054054054035</v>
      </c>
      <c r="I49" s="39">
        <v>-4.7054054054054006</v>
      </c>
      <c r="J49" s="39">
        <v>-3.2554054054054049</v>
      </c>
      <c r="K49" s="39">
        <v>-1.8054054054054021</v>
      </c>
      <c r="L49" s="39">
        <v>-0.35540540540540633</v>
      </c>
      <c r="M49" s="39">
        <v>1.0945945945945965</v>
      </c>
      <c r="N49" s="39">
        <v>2.5445945945945994</v>
      </c>
      <c r="O49" s="39">
        <v>3.994594594594588</v>
      </c>
      <c r="P49" s="46">
        <v>5.4445945945945908</v>
      </c>
    </row>
    <row r="50" spans="1:16" x14ac:dyDescent="0.2">
      <c r="A50" s="37"/>
      <c r="B50" s="37">
        <v>11</v>
      </c>
      <c r="C50" s="37">
        <v>-14.405405405405403</v>
      </c>
      <c r="D50" s="45">
        <v>-12.955405405405401</v>
      </c>
      <c r="E50" s="39">
        <v>-11.505405405405405</v>
      </c>
      <c r="F50" s="39">
        <v>-10.055405405405402</v>
      </c>
      <c r="G50" s="39">
        <v>-8.6054054054054063</v>
      </c>
      <c r="H50" s="39">
        <v>-7.1554054054054035</v>
      </c>
      <c r="I50" s="39">
        <v>-5.7054054054054006</v>
      </c>
      <c r="J50" s="39">
        <v>-4.2554054054054049</v>
      </c>
      <c r="K50" s="39">
        <v>-2.8054054054054021</v>
      </c>
      <c r="L50" s="39">
        <v>-1.3554054054054063</v>
      </c>
      <c r="M50" s="39">
        <v>9.4594594594596515E-2</v>
      </c>
      <c r="N50" s="39">
        <v>1.5445945945945994</v>
      </c>
      <c r="O50" s="39">
        <v>2.994594594594588</v>
      </c>
      <c r="P50" s="46">
        <v>4.4445945945945908</v>
      </c>
    </row>
    <row r="51" spans="1:16" x14ac:dyDescent="0.2">
      <c r="A51" s="37"/>
      <c r="B51" s="37">
        <v>12</v>
      </c>
      <c r="C51" s="37">
        <v>-15.405405405405403</v>
      </c>
      <c r="D51" s="45">
        <v>-13.955405405405401</v>
      </c>
      <c r="E51" s="39">
        <v>-12.505405405405405</v>
      </c>
      <c r="F51" s="39">
        <v>-11.055405405405402</v>
      </c>
      <c r="G51" s="39">
        <v>-9.6054054054054063</v>
      </c>
      <c r="H51" s="39">
        <v>-8.1554054054054035</v>
      </c>
      <c r="I51" s="39">
        <v>-6.7054054054054006</v>
      </c>
      <c r="J51" s="39">
        <v>-5.2554054054054049</v>
      </c>
      <c r="K51" s="39">
        <v>-3.8054054054054021</v>
      </c>
      <c r="L51" s="39">
        <v>-2.3554054054054063</v>
      </c>
      <c r="M51" s="39">
        <v>-0.90540540540540349</v>
      </c>
      <c r="N51" s="39">
        <v>0.54459459459459936</v>
      </c>
      <c r="O51" s="39">
        <v>1.994594594594588</v>
      </c>
      <c r="P51" s="46">
        <v>3.4445945945945908</v>
      </c>
    </row>
    <row r="52" spans="1:16" x14ac:dyDescent="0.2">
      <c r="A52" s="37"/>
      <c r="B52" s="37">
        <v>13</v>
      </c>
      <c r="C52" s="37">
        <v>-16.405405405405403</v>
      </c>
      <c r="D52" s="47">
        <v>-14.955405405405401</v>
      </c>
      <c r="E52" s="40">
        <v>-13.505405405405405</v>
      </c>
      <c r="F52" s="40">
        <v>-12.055405405405402</v>
      </c>
      <c r="G52" s="40">
        <v>-10.605405405405406</v>
      </c>
      <c r="H52" s="40">
        <v>-9.1554054054054035</v>
      </c>
      <c r="I52" s="40">
        <v>-7.7054054054054006</v>
      </c>
      <c r="J52" s="40">
        <v>-6.2554054054054049</v>
      </c>
      <c r="K52" s="40">
        <v>-4.8054054054054021</v>
      </c>
      <c r="L52" s="40">
        <v>-3.3554054054054063</v>
      </c>
      <c r="M52" s="40">
        <v>-1.9054054054054035</v>
      </c>
      <c r="N52" s="40">
        <v>-0.45540540540540064</v>
      </c>
      <c r="O52" s="40">
        <v>0.99459459459458799</v>
      </c>
      <c r="P52" s="20">
        <v>2.4445945945945908</v>
      </c>
    </row>
    <row r="53" spans="1:16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</row>
    <row r="54" spans="1: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6" thickBot="1" x14ac:dyDescent="0.25">
      <c r="A56" s="37"/>
      <c r="B56" s="97" t="str">
        <f>B9</f>
        <v>lakers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</row>
    <row r="57" spans="1:16" x14ac:dyDescent="0.2">
      <c r="A57" s="37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x14ac:dyDescent="0.2">
      <c r="A58" s="98"/>
      <c r="B58" s="98"/>
      <c r="C58" s="41"/>
      <c r="D58" s="41"/>
      <c r="E58" s="41"/>
      <c r="F58" s="41"/>
      <c r="G58" s="41"/>
      <c r="H58" s="43" t="str">
        <f>B7</f>
        <v>suns</v>
      </c>
      <c r="I58" s="41"/>
      <c r="J58" s="41"/>
      <c r="K58" s="41"/>
      <c r="L58" s="41"/>
      <c r="M58" s="41"/>
      <c r="N58" s="41"/>
      <c r="O58" s="41"/>
      <c r="P58" s="41"/>
    </row>
    <row r="59" spans="1:16" x14ac:dyDescent="0.2">
      <c r="A59" s="60"/>
      <c r="B59" s="78"/>
      <c r="C59" s="36"/>
      <c r="D59" s="36"/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16" x14ac:dyDescent="0.2">
      <c r="A60" s="60"/>
      <c r="B60" s="69">
        <f>D30</f>
        <v>-9.2117647058823593</v>
      </c>
      <c r="C60" s="37"/>
      <c r="D60" s="37">
        <v>1</v>
      </c>
      <c r="E60" s="37">
        <v>2</v>
      </c>
      <c r="F60" s="37">
        <v>3</v>
      </c>
      <c r="G60" s="37">
        <v>4</v>
      </c>
      <c r="H60" s="37">
        <v>5</v>
      </c>
      <c r="I60" s="37">
        <v>6</v>
      </c>
      <c r="J60" s="37">
        <v>7</v>
      </c>
      <c r="K60" s="37">
        <v>8</v>
      </c>
      <c r="L60" s="37">
        <v>9</v>
      </c>
      <c r="M60" s="37">
        <v>10</v>
      </c>
      <c r="N60" s="37">
        <v>11</v>
      </c>
      <c r="O60" s="37">
        <v>12</v>
      </c>
      <c r="P60" s="37">
        <v>13</v>
      </c>
    </row>
    <row r="61" spans="1:16" x14ac:dyDescent="0.2">
      <c r="A61" s="60"/>
      <c r="B61" s="37">
        <v>1</v>
      </c>
      <c r="C61" s="37">
        <f t="dataTable" ref="C61:P73" dt2D="1" dtr="1" r1="G7" r2="G9" ca="1"/>
        <v>-14.811764705882354</v>
      </c>
      <c r="D61" s="44">
        <v>-15.811764705882354</v>
      </c>
      <c r="E61" s="38">
        <v>-16.811764705882354</v>
      </c>
      <c r="F61" s="38">
        <v>-17.811764705882354</v>
      </c>
      <c r="G61" s="38">
        <v>-18.811764705882354</v>
      </c>
      <c r="H61" s="38">
        <v>-19.811764705882354</v>
      </c>
      <c r="I61" s="38">
        <v>-20.811764705882354</v>
      </c>
      <c r="J61" s="38">
        <v>-21.811764705882354</v>
      </c>
      <c r="K61" s="38">
        <v>-22.811764705882354</v>
      </c>
      <c r="L61" s="38">
        <v>-23.811764705882354</v>
      </c>
      <c r="M61" s="38">
        <v>-24.811764705882354</v>
      </c>
      <c r="N61" s="38">
        <v>-25.811764705882354</v>
      </c>
      <c r="O61" s="38">
        <v>-26.811764705882354</v>
      </c>
      <c r="P61" s="12">
        <v>-27.811764705882354</v>
      </c>
    </row>
    <row r="62" spans="1:16" x14ac:dyDescent="0.2">
      <c r="A62" s="60"/>
      <c r="B62" s="37">
        <v>2</v>
      </c>
      <c r="C62" s="37">
        <v>-13.211764705882352</v>
      </c>
      <c r="D62" s="45">
        <v>-14.211764705882352</v>
      </c>
      <c r="E62" s="39">
        <v>-15.211764705882352</v>
      </c>
      <c r="F62" s="39">
        <v>-16.211764705882352</v>
      </c>
      <c r="G62" s="39">
        <v>-17.211764705882352</v>
      </c>
      <c r="H62" s="39">
        <v>-18.211764705882352</v>
      </c>
      <c r="I62" s="39">
        <v>-19.211764705882352</v>
      </c>
      <c r="J62" s="39">
        <v>-20.211764705882352</v>
      </c>
      <c r="K62" s="39">
        <v>-21.211764705882352</v>
      </c>
      <c r="L62" s="39">
        <v>-22.211764705882352</v>
      </c>
      <c r="M62" s="39">
        <v>-23.211764705882352</v>
      </c>
      <c r="N62" s="39">
        <v>-24.211764705882352</v>
      </c>
      <c r="O62" s="39">
        <v>-25.211764705882352</v>
      </c>
      <c r="P62" s="46">
        <v>-26.211764705882352</v>
      </c>
    </row>
    <row r="63" spans="1:16" x14ac:dyDescent="0.2">
      <c r="A63" s="60"/>
      <c r="B63" s="37">
        <v>3</v>
      </c>
      <c r="C63" s="37">
        <v>-11.611764705882351</v>
      </c>
      <c r="D63" s="45">
        <v>-12.611764705882351</v>
      </c>
      <c r="E63" s="39">
        <v>-13.611764705882351</v>
      </c>
      <c r="F63" s="39">
        <v>-14.611764705882351</v>
      </c>
      <c r="G63" s="39">
        <v>-15.611764705882351</v>
      </c>
      <c r="H63" s="39">
        <v>-16.611764705882351</v>
      </c>
      <c r="I63" s="39">
        <v>-17.611764705882351</v>
      </c>
      <c r="J63" s="39">
        <v>-18.611764705882351</v>
      </c>
      <c r="K63" s="39">
        <v>-19.611764705882351</v>
      </c>
      <c r="L63" s="39">
        <v>-20.611764705882351</v>
      </c>
      <c r="M63" s="39">
        <v>-21.611764705882351</v>
      </c>
      <c r="N63" s="39">
        <v>-22.611764705882351</v>
      </c>
      <c r="O63" s="39">
        <v>-23.611764705882351</v>
      </c>
      <c r="P63" s="46">
        <v>-24.611764705882351</v>
      </c>
    </row>
    <row r="64" spans="1:16" x14ac:dyDescent="0.2">
      <c r="A64" s="60"/>
      <c r="B64" s="37">
        <v>4</v>
      </c>
      <c r="C64" s="37">
        <v>-10.011764705882356</v>
      </c>
      <c r="D64" s="45">
        <v>-11.011764705882356</v>
      </c>
      <c r="E64" s="39">
        <v>-12.011764705882356</v>
      </c>
      <c r="F64" s="39">
        <v>-13.011764705882356</v>
      </c>
      <c r="G64" s="39">
        <v>-14.011764705882356</v>
      </c>
      <c r="H64" s="39">
        <v>-15.011764705882356</v>
      </c>
      <c r="I64" s="39">
        <v>-16.011764705882356</v>
      </c>
      <c r="J64" s="39">
        <v>-17.011764705882356</v>
      </c>
      <c r="K64" s="39">
        <v>-18.011764705882356</v>
      </c>
      <c r="L64" s="39">
        <v>-19.011764705882356</v>
      </c>
      <c r="M64" s="39">
        <v>-20.011764705882356</v>
      </c>
      <c r="N64" s="39">
        <v>-21.011764705882356</v>
      </c>
      <c r="O64" s="39">
        <v>-22.011764705882356</v>
      </c>
      <c r="P64" s="46">
        <v>-23.011764705882356</v>
      </c>
    </row>
    <row r="65" spans="1:16" x14ac:dyDescent="0.2">
      <c r="A65" s="37"/>
      <c r="B65" s="37">
        <v>5</v>
      </c>
      <c r="C65" s="37">
        <v>-8.411764705882355</v>
      </c>
      <c r="D65" s="45">
        <v>-9.411764705882355</v>
      </c>
      <c r="E65" s="39">
        <v>-10.411764705882355</v>
      </c>
      <c r="F65" s="39">
        <v>-11.411764705882355</v>
      </c>
      <c r="G65" s="39">
        <v>-12.411764705882355</v>
      </c>
      <c r="H65" s="39">
        <v>-13.411764705882355</v>
      </c>
      <c r="I65" s="39">
        <v>-14.411764705882355</v>
      </c>
      <c r="J65" s="39">
        <v>-15.411764705882355</v>
      </c>
      <c r="K65" s="39">
        <v>-16.411764705882355</v>
      </c>
      <c r="L65" s="39">
        <v>-17.411764705882355</v>
      </c>
      <c r="M65" s="39">
        <v>-18.411764705882355</v>
      </c>
      <c r="N65" s="39">
        <v>-19.411764705882355</v>
      </c>
      <c r="O65" s="39">
        <v>-20.411764705882355</v>
      </c>
      <c r="P65" s="46">
        <v>-21.411764705882355</v>
      </c>
    </row>
    <row r="66" spans="1:16" x14ac:dyDescent="0.2">
      <c r="A66" s="37"/>
      <c r="B66" s="37">
        <v>6</v>
      </c>
      <c r="C66" s="37">
        <v>-6.8117647058823536</v>
      </c>
      <c r="D66" s="45">
        <v>-7.8117647058823536</v>
      </c>
      <c r="E66" s="39">
        <v>-8.8117647058823536</v>
      </c>
      <c r="F66" s="39">
        <v>-9.8117647058823536</v>
      </c>
      <c r="G66" s="39">
        <v>-10.811764705882354</v>
      </c>
      <c r="H66" s="39">
        <v>-11.811764705882354</v>
      </c>
      <c r="I66" s="39">
        <v>-12.811764705882354</v>
      </c>
      <c r="J66" s="39">
        <v>-13.811764705882354</v>
      </c>
      <c r="K66" s="39">
        <v>-14.811764705882354</v>
      </c>
      <c r="L66" s="39">
        <v>-15.811764705882354</v>
      </c>
      <c r="M66" s="39">
        <v>-16.811764705882354</v>
      </c>
      <c r="N66" s="39">
        <v>-17.811764705882354</v>
      </c>
      <c r="O66" s="39">
        <v>-18.811764705882354</v>
      </c>
      <c r="P66" s="46">
        <v>-19.811764705882354</v>
      </c>
    </row>
    <row r="67" spans="1:16" x14ac:dyDescent="0.2">
      <c r="A67" s="37" t="str">
        <f>B9</f>
        <v>lakers</v>
      </c>
      <c r="B67" s="37">
        <v>7</v>
      </c>
      <c r="C67" s="37">
        <v>-5.2117647058823522</v>
      </c>
      <c r="D67" s="45">
        <v>-6.2117647058823522</v>
      </c>
      <c r="E67" s="39">
        <v>-7.2117647058823522</v>
      </c>
      <c r="F67" s="39">
        <v>-8.2117647058823522</v>
      </c>
      <c r="G67" s="39">
        <v>-9.2117647058823522</v>
      </c>
      <c r="H67" s="39">
        <v>-10.211764705882352</v>
      </c>
      <c r="I67" s="39">
        <v>-11.211764705882352</v>
      </c>
      <c r="J67" s="39">
        <v>-12.211764705882352</v>
      </c>
      <c r="K67" s="39">
        <v>-13.211764705882352</v>
      </c>
      <c r="L67" s="39">
        <v>-14.211764705882352</v>
      </c>
      <c r="M67" s="39">
        <v>-15.211764705882352</v>
      </c>
      <c r="N67" s="39">
        <v>-16.211764705882352</v>
      </c>
      <c r="O67" s="39">
        <v>-17.211764705882352</v>
      </c>
      <c r="P67" s="46">
        <v>-18.211764705882352</v>
      </c>
    </row>
    <row r="68" spans="1:16" x14ac:dyDescent="0.2">
      <c r="A68" s="37"/>
      <c r="B68" s="37">
        <v>8</v>
      </c>
      <c r="C68" s="37">
        <v>-3.6117647058823508</v>
      </c>
      <c r="D68" s="45">
        <v>-4.6117647058823508</v>
      </c>
      <c r="E68" s="39">
        <v>-5.6117647058823508</v>
      </c>
      <c r="F68" s="39">
        <v>-6.6117647058823508</v>
      </c>
      <c r="G68" s="39">
        <v>-7.6117647058823508</v>
      </c>
      <c r="H68" s="39">
        <v>-8.6117647058823508</v>
      </c>
      <c r="I68" s="39">
        <v>-9.6117647058823508</v>
      </c>
      <c r="J68" s="39">
        <v>-10.611764705882351</v>
      </c>
      <c r="K68" s="39">
        <v>-11.611764705882351</v>
      </c>
      <c r="L68" s="39">
        <v>-12.611764705882351</v>
      </c>
      <c r="M68" s="39">
        <v>-13.611764705882351</v>
      </c>
      <c r="N68" s="39">
        <v>-14.611764705882351</v>
      </c>
      <c r="O68" s="39">
        <v>-15.611764705882351</v>
      </c>
      <c r="P68" s="46">
        <v>-16.611764705882351</v>
      </c>
    </row>
    <row r="69" spans="1:16" x14ac:dyDescent="0.2">
      <c r="A69" s="37"/>
      <c r="B69" s="37">
        <v>9</v>
      </c>
      <c r="C69" s="37">
        <v>-2.0117647058823565</v>
      </c>
      <c r="D69" s="45">
        <v>-3.0117647058823565</v>
      </c>
      <c r="E69" s="39">
        <v>-4.0117647058823565</v>
      </c>
      <c r="F69" s="39">
        <v>-5.0117647058823565</v>
      </c>
      <c r="G69" s="39">
        <v>-6.0117647058823565</v>
      </c>
      <c r="H69" s="39">
        <v>-7.0117647058823565</v>
      </c>
      <c r="I69" s="39">
        <v>-8.0117647058823565</v>
      </c>
      <c r="J69" s="39">
        <v>-9.0117647058823565</v>
      </c>
      <c r="K69" s="39">
        <v>-10.011764705882356</v>
      </c>
      <c r="L69" s="39">
        <v>-11.011764705882356</v>
      </c>
      <c r="M69" s="39">
        <v>-12.011764705882356</v>
      </c>
      <c r="N69" s="39">
        <v>-13.011764705882356</v>
      </c>
      <c r="O69" s="39">
        <v>-14.011764705882356</v>
      </c>
      <c r="P69" s="46">
        <v>-15.011764705882356</v>
      </c>
    </row>
    <row r="70" spans="1:16" x14ac:dyDescent="0.2">
      <c r="A70" s="37"/>
      <c r="B70" s="37">
        <v>10</v>
      </c>
      <c r="C70" s="37">
        <v>-0.41176470588235503</v>
      </c>
      <c r="D70" s="45">
        <v>-1.411764705882355</v>
      </c>
      <c r="E70" s="39">
        <v>-2.411764705882355</v>
      </c>
      <c r="F70" s="39">
        <v>-3.411764705882355</v>
      </c>
      <c r="G70" s="39">
        <v>-4.411764705882355</v>
      </c>
      <c r="H70" s="39">
        <v>-5.411764705882355</v>
      </c>
      <c r="I70" s="39">
        <v>-6.411764705882355</v>
      </c>
      <c r="J70" s="39">
        <v>-7.411764705882355</v>
      </c>
      <c r="K70" s="39">
        <v>-8.411764705882355</v>
      </c>
      <c r="L70" s="39">
        <v>-9.411764705882355</v>
      </c>
      <c r="M70" s="39">
        <v>-10.411764705882355</v>
      </c>
      <c r="N70" s="39">
        <v>-11.411764705882355</v>
      </c>
      <c r="O70" s="39">
        <v>-12.411764705882355</v>
      </c>
      <c r="P70" s="46">
        <v>-13.411764705882355</v>
      </c>
    </row>
    <row r="71" spans="1:16" x14ac:dyDescent="0.2">
      <c r="A71" s="37"/>
      <c r="B71" s="37">
        <v>11</v>
      </c>
      <c r="C71" s="37">
        <v>1.1882352941176464</v>
      </c>
      <c r="D71" s="45">
        <v>0.18823529411764639</v>
      </c>
      <c r="E71" s="39">
        <v>-0.81176470588235361</v>
      </c>
      <c r="F71" s="39">
        <v>-1.8117647058823536</v>
      </c>
      <c r="G71" s="39">
        <v>-2.8117647058823536</v>
      </c>
      <c r="H71" s="39">
        <v>-3.8117647058823536</v>
      </c>
      <c r="I71" s="39">
        <v>-4.8117647058823536</v>
      </c>
      <c r="J71" s="39">
        <v>-5.8117647058823536</v>
      </c>
      <c r="K71" s="39">
        <v>-6.8117647058823536</v>
      </c>
      <c r="L71" s="39">
        <v>-7.8117647058823536</v>
      </c>
      <c r="M71" s="39">
        <v>-8.8117647058823536</v>
      </c>
      <c r="N71" s="39">
        <v>-9.8117647058823536</v>
      </c>
      <c r="O71" s="39">
        <v>-10.811764705882354</v>
      </c>
      <c r="P71" s="46">
        <v>-11.811764705882354</v>
      </c>
    </row>
    <row r="72" spans="1:16" x14ac:dyDescent="0.2">
      <c r="A72" s="37"/>
      <c r="B72" s="37">
        <v>12</v>
      </c>
      <c r="C72" s="37">
        <v>2.7882352941176478</v>
      </c>
      <c r="D72" s="45">
        <v>1.7882352941176478</v>
      </c>
      <c r="E72" s="39">
        <v>0.78823529411764781</v>
      </c>
      <c r="F72" s="39">
        <v>-0.21176470588235219</v>
      </c>
      <c r="G72" s="39">
        <v>-1.2117647058823522</v>
      </c>
      <c r="H72" s="39">
        <v>-2.2117647058823522</v>
      </c>
      <c r="I72" s="39">
        <v>-3.2117647058823522</v>
      </c>
      <c r="J72" s="39">
        <v>-4.2117647058823522</v>
      </c>
      <c r="K72" s="39">
        <v>-5.2117647058823522</v>
      </c>
      <c r="L72" s="39">
        <v>-6.2117647058823522</v>
      </c>
      <c r="M72" s="39">
        <v>-7.2117647058823522</v>
      </c>
      <c r="N72" s="39">
        <v>-8.2117647058823522</v>
      </c>
      <c r="O72" s="39">
        <v>-9.2117647058823522</v>
      </c>
      <c r="P72" s="46">
        <v>-10.211764705882352</v>
      </c>
    </row>
    <row r="73" spans="1:16" x14ac:dyDescent="0.2">
      <c r="A73" s="37"/>
      <c r="B73" s="37">
        <v>13</v>
      </c>
      <c r="C73" s="37">
        <v>4.3882352941176421</v>
      </c>
      <c r="D73" s="47">
        <v>3.3882352941176421</v>
      </c>
      <c r="E73" s="40">
        <v>2.3882352941176421</v>
      </c>
      <c r="F73" s="40">
        <v>1.3882352941176421</v>
      </c>
      <c r="G73" s="40">
        <v>0.38823529411764213</v>
      </c>
      <c r="H73" s="40">
        <v>-0.61176470588235787</v>
      </c>
      <c r="I73" s="40">
        <v>-1.6117647058823579</v>
      </c>
      <c r="J73" s="40">
        <v>-2.6117647058823579</v>
      </c>
      <c r="K73" s="40">
        <v>-3.6117647058823579</v>
      </c>
      <c r="L73" s="40">
        <v>-4.6117647058823579</v>
      </c>
      <c r="M73" s="40">
        <v>-5.6117647058823579</v>
      </c>
      <c r="N73" s="40">
        <v>-6.6117647058823579</v>
      </c>
      <c r="O73" s="40">
        <v>-7.6117647058823579</v>
      </c>
      <c r="P73" s="20">
        <v>-8.6117647058823579</v>
      </c>
    </row>
    <row r="74" spans="1:16" x14ac:dyDescent="0.2">
      <c r="A74" s="37"/>
      <c r="B74" s="37"/>
      <c r="C74" s="37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 x14ac:dyDescent="0.2">
      <c r="A75" s="37"/>
      <c r="B75" s="37"/>
      <c r="C75" s="37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16" ht="16" thickBot="1" x14ac:dyDescent="0.25">
      <c r="A76" s="37"/>
      <c r="B76" s="97" t="s">
        <v>79</v>
      </c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</row>
    <row r="77" spans="1:16" x14ac:dyDescent="0.2">
      <c r="A77" s="37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x14ac:dyDescent="0.2">
      <c r="A78" s="98"/>
      <c r="B78" s="98"/>
      <c r="C78" s="41"/>
      <c r="D78" s="41"/>
      <c r="E78" s="41"/>
      <c r="F78" s="41"/>
      <c r="G78" s="41"/>
      <c r="H78" s="43" t="str">
        <f>B7</f>
        <v>suns</v>
      </c>
      <c r="I78" s="41"/>
      <c r="J78" s="41"/>
      <c r="K78" s="41"/>
      <c r="L78" s="41"/>
      <c r="M78" s="41"/>
      <c r="N78" s="41"/>
      <c r="O78" s="41"/>
      <c r="P78" s="41"/>
    </row>
    <row r="79" spans="1:16" x14ac:dyDescent="0.2">
      <c r="A79" s="60"/>
      <c r="B79" s="78"/>
      <c r="C79" s="36"/>
      <c r="D79" s="36"/>
      <c r="E79" s="36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</row>
    <row r="80" spans="1:16" x14ac:dyDescent="0.2">
      <c r="A80" s="60"/>
      <c r="B80" s="37"/>
      <c r="D80" s="37">
        <v>1</v>
      </c>
      <c r="E80" s="37">
        <v>2</v>
      </c>
      <c r="F80" s="37">
        <v>3</v>
      </c>
      <c r="G80" s="37">
        <v>4</v>
      </c>
      <c r="H80" s="37">
        <v>5</v>
      </c>
      <c r="I80" s="37">
        <v>6</v>
      </c>
      <c r="J80" s="37">
        <v>7</v>
      </c>
      <c r="K80" s="37">
        <v>8</v>
      </c>
      <c r="L80" s="37">
        <v>9</v>
      </c>
      <c r="M80" s="37">
        <v>10</v>
      </c>
      <c r="N80" s="37">
        <v>11</v>
      </c>
      <c r="O80" s="37">
        <v>12</v>
      </c>
      <c r="P80" s="37">
        <v>13</v>
      </c>
    </row>
    <row r="81" spans="1:16" x14ac:dyDescent="0.2">
      <c r="A81" s="60"/>
      <c r="B81" s="37">
        <v>1</v>
      </c>
      <c r="D81" s="79" t="str">
        <f>IF(D61&gt;0, IF(D40&gt;0, IF(D61&gt;D40, $A$67, $H$37), "X"), "X")</f>
        <v>X</v>
      </c>
      <c r="E81" s="80" t="str">
        <f t="shared" ref="E81:P81" si="0">IF(E61&gt;0, IF(E40&gt;0, IF(E61&gt;E40, $A$67, $H$37), "X"), "X")</f>
        <v>X</v>
      </c>
      <c r="F81" s="80" t="str">
        <f t="shared" si="0"/>
        <v>X</v>
      </c>
      <c r="G81" s="80" t="str">
        <f t="shared" si="0"/>
        <v>X</v>
      </c>
      <c r="H81" s="80" t="str">
        <f t="shared" si="0"/>
        <v>X</v>
      </c>
      <c r="I81" s="80" t="str">
        <f t="shared" si="0"/>
        <v>X</v>
      </c>
      <c r="J81" s="80" t="str">
        <f t="shared" si="0"/>
        <v>X</v>
      </c>
      <c r="K81" s="80" t="str">
        <f t="shared" si="0"/>
        <v>X</v>
      </c>
      <c r="L81" s="80" t="str">
        <f t="shared" si="0"/>
        <v>X</v>
      </c>
      <c r="M81" s="80" t="str">
        <f t="shared" si="0"/>
        <v>X</v>
      </c>
      <c r="N81" s="80" t="str">
        <f t="shared" si="0"/>
        <v>X</v>
      </c>
      <c r="O81" s="80" t="str">
        <f t="shared" si="0"/>
        <v>X</v>
      </c>
      <c r="P81" s="81" t="str">
        <f t="shared" si="0"/>
        <v>X</v>
      </c>
    </row>
    <row r="82" spans="1:16" x14ac:dyDescent="0.2">
      <c r="A82" s="60"/>
      <c r="B82" s="37">
        <v>2</v>
      </c>
      <c r="D82" s="82" t="str">
        <f t="shared" ref="D82:P93" si="1">IF(D62&gt;0, IF(D41&gt;0, IF(D62&gt;D41, $A$67, $H$37), "X"), "X")</f>
        <v>X</v>
      </c>
      <c r="E82" s="39" t="str">
        <f t="shared" si="1"/>
        <v>X</v>
      </c>
      <c r="F82" s="39" t="str">
        <f t="shared" si="1"/>
        <v>X</v>
      </c>
      <c r="G82" s="39" t="str">
        <f t="shared" si="1"/>
        <v>X</v>
      </c>
      <c r="H82" s="39" t="str">
        <f t="shared" si="1"/>
        <v>X</v>
      </c>
      <c r="I82" s="39" t="str">
        <f t="shared" si="1"/>
        <v>X</v>
      </c>
      <c r="J82" s="39" t="str">
        <f t="shared" si="1"/>
        <v>X</v>
      </c>
      <c r="K82" s="39" t="str">
        <f t="shared" si="1"/>
        <v>X</v>
      </c>
      <c r="L82" s="39" t="str">
        <f t="shared" si="1"/>
        <v>X</v>
      </c>
      <c r="M82" s="39" t="str">
        <f t="shared" si="1"/>
        <v>X</v>
      </c>
      <c r="N82" s="39" t="str">
        <f t="shared" si="1"/>
        <v>X</v>
      </c>
      <c r="O82" s="39" t="str">
        <f t="shared" si="1"/>
        <v>X</v>
      </c>
      <c r="P82" s="83" t="str">
        <f t="shared" si="1"/>
        <v>X</v>
      </c>
    </row>
    <row r="83" spans="1:16" x14ac:dyDescent="0.2">
      <c r="A83" s="60"/>
      <c r="B83" s="37">
        <v>3</v>
      </c>
      <c r="D83" s="82" t="str">
        <f t="shared" si="1"/>
        <v>X</v>
      </c>
      <c r="E83" s="39" t="str">
        <f t="shared" si="1"/>
        <v>X</v>
      </c>
      <c r="F83" s="39" t="str">
        <f t="shared" si="1"/>
        <v>X</v>
      </c>
      <c r="G83" s="39" t="str">
        <f t="shared" si="1"/>
        <v>X</v>
      </c>
      <c r="H83" s="39" t="str">
        <f t="shared" si="1"/>
        <v>X</v>
      </c>
      <c r="I83" s="39" t="str">
        <f t="shared" si="1"/>
        <v>X</v>
      </c>
      <c r="J83" s="39" t="str">
        <f t="shared" si="1"/>
        <v>X</v>
      </c>
      <c r="K83" s="39" t="str">
        <f t="shared" si="1"/>
        <v>X</v>
      </c>
      <c r="L83" s="39" t="str">
        <f t="shared" si="1"/>
        <v>X</v>
      </c>
      <c r="M83" s="39" t="str">
        <f t="shared" si="1"/>
        <v>X</v>
      </c>
      <c r="N83" s="39" t="str">
        <f t="shared" si="1"/>
        <v>X</v>
      </c>
      <c r="O83" s="39" t="str">
        <f t="shared" si="1"/>
        <v>X</v>
      </c>
      <c r="P83" s="83" t="str">
        <f t="shared" si="1"/>
        <v>X</v>
      </c>
    </row>
    <row r="84" spans="1:16" x14ac:dyDescent="0.2">
      <c r="A84" s="60"/>
      <c r="B84" s="37">
        <v>4</v>
      </c>
      <c r="D84" s="82" t="str">
        <f t="shared" si="1"/>
        <v>X</v>
      </c>
      <c r="E84" s="39" t="str">
        <f t="shared" si="1"/>
        <v>X</v>
      </c>
      <c r="F84" s="39" t="str">
        <f t="shared" si="1"/>
        <v>X</v>
      </c>
      <c r="G84" s="39" t="str">
        <f t="shared" si="1"/>
        <v>X</v>
      </c>
      <c r="H84" s="39" t="str">
        <f t="shared" si="1"/>
        <v>X</v>
      </c>
      <c r="I84" s="39" t="str">
        <f t="shared" si="1"/>
        <v>X</v>
      </c>
      <c r="J84" s="39" t="str">
        <f t="shared" si="1"/>
        <v>X</v>
      </c>
      <c r="K84" s="39" t="str">
        <f t="shared" si="1"/>
        <v>X</v>
      </c>
      <c r="L84" s="39" t="str">
        <f t="shared" si="1"/>
        <v>X</v>
      </c>
      <c r="M84" s="39" t="str">
        <f t="shared" si="1"/>
        <v>X</v>
      </c>
      <c r="N84" s="39" t="str">
        <f t="shared" si="1"/>
        <v>X</v>
      </c>
      <c r="O84" s="39" t="str">
        <f t="shared" si="1"/>
        <v>X</v>
      </c>
      <c r="P84" s="83" t="str">
        <f t="shared" si="1"/>
        <v>X</v>
      </c>
    </row>
    <row r="85" spans="1:16" x14ac:dyDescent="0.2">
      <c r="A85" s="60"/>
      <c r="B85" s="37">
        <v>5</v>
      </c>
      <c r="D85" s="82" t="str">
        <f t="shared" si="1"/>
        <v>X</v>
      </c>
      <c r="E85" s="39" t="str">
        <f t="shared" si="1"/>
        <v>X</v>
      </c>
      <c r="F85" s="39" t="str">
        <f t="shared" si="1"/>
        <v>X</v>
      </c>
      <c r="G85" s="39" t="str">
        <f t="shared" si="1"/>
        <v>X</v>
      </c>
      <c r="H85" s="39" t="str">
        <f t="shared" si="1"/>
        <v>X</v>
      </c>
      <c r="I85" s="39" t="str">
        <f t="shared" si="1"/>
        <v>X</v>
      </c>
      <c r="J85" s="39" t="str">
        <f t="shared" si="1"/>
        <v>X</v>
      </c>
      <c r="K85" s="39" t="str">
        <f t="shared" si="1"/>
        <v>X</v>
      </c>
      <c r="L85" s="39" t="str">
        <f t="shared" si="1"/>
        <v>X</v>
      </c>
      <c r="M85" s="39" t="str">
        <f t="shared" si="1"/>
        <v>X</v>
      </c>
      <c r="N85" s="39" t="str">
        <f t="shared" si="1"/>
        <v>X</v>
      </c>
      <c r="O85" s="39" t="str">
        <f t="shared" si="1"/>
        <v>X</v>
      </c>
      <c r="P85" s="83" t="str">
        <f t="shared" si="1"/>
        <v>X</v>
      </c>
    </row>
    <row r="86" spans="1:16" x14ac:dyDescent="0.2">
      <c r="A86" s="60"/>
      <c r="B86" s="37">
        <v>6</v>
      </c>
      <c r="D86" s="82" t="str">
        <f t="shared" si="1"/>
        <v>X</v>
      </c>
      <c r="E86" s="39" t="str">
        <f t="shared" si="1"/>
        <v>X</v>
      </c>
      <c r="F86" s="39" t="str">
        <f t="shared" si="1"/>
        <v>X</v>
      </c>
      <c r="G86" s="39" t="str">
        <f t="shared" si="1"/>
        <v>X</v>
      </c>
      <c r="H86" s="39" t="str">
        <f t="shared" si="1"/>
        <v>X</v>
      </c>
      <c r="I86" s="39" t="str">
        <f t="shared" si="1"/>
        <v>X</v>
      </c>
      <c r="J86" s="39" t="str">
        <f t="shared" si="1"/>
        <v>X</v>
      </c>
      <c r="K86" s="39" t="str">
        <f t="shared" si="1"/>
        <v>X</v>
      </c>
      <c r="L86" s="39" t="str">
        <f t="shared" si="1"/>
        <v>X</v>
      </c>
      <c r="M86" s="39" t="str">
        <f t="shared" si="1"/>
        <v>X</v>
      </c>
      <c r="N86" s="39" t="str">
        <f t="shared" si="1"/>
        <v>X</v>
      </c>
      <c r="O86" s="39" t="str">
        <f t="shared" si="1"/>
        <v>X</v>
      </c>
      <c r="P86" s="83" t="str">
        <f t="shared" si="1"/>
        <v>X</v>
      </c>
    </row>
    <row r="87" spans="1:16" x14ac:dyDescent="0.2">
      <c r="A87" s="60" t="str">
        <f>B9</f>
        <v>lakers</v>
      </c>
      <c r="B87" s="37">
        <v>7</v>
      </c>
      <c r="D87" s="82" t="str">
        <f t="shared" si="1"/>
        <v>X</v>
      </c>
      <c r="E87" s="39" t="str">
        <f t="shared" si="1"/>
        <v>X</v>
      </c>
      <c r="F87" s="39" t="str">
        <f t="shared" si="1"/>
        <v>X</v>
      </c>
      <c r="G87" s="39" t="str">
        <f t="shared" si="1"/>
        <v>X</v>
      </c>
      <c r="H87" s="39" t="str">
        <f t="shared" si="1"/>
        <v>X</v>
      </c>
      <c r="I87" s="39" t="str">
        <f t="shared" si="1"/>
        <v>X</v>
      </c>
      <c r="J87" s="39" t="str">
        <f t="shared" si="1"/>
        <v>X</v>
      </c>
      <c r="K87" s="39" t="str">
        <f t="shared" si="1"/>
        <v>X</v>
      </c>
      <c r="L87" s="39" t="str">
        <f t="shared" si="1"/>
        <v>X</v>
      </c>
      <c r="M87" s="39" t="str">
        <f t="shared" si="1"/>
        <v>X</v>
      </c>
      <c r="N87" s="39" t="str">
        <f t="shared" si="1"/>
        <v>X</v>
      </c>
      <c r="O87" s="39" t="str">
        <f t="shared" si="1"/>
        <v>X</v>
      </c>
      <c r="P87" s="83" t="str">
        <f t="shared" si="1"/>
        <v>X</v>
      </c>
    </row>
    <row r="88" spans="1:16" x14ac:dyDescent="0.2">
      <c r="A88" s="60"/>
      <c r="B88" s="37">
        <v>8</v>
      </c>
      <c r="D88" s="82" t="str">
        <f t="shared" si="1"/>
        <v>X</v>
      </c>
      <c r="E88" s="39" t="str">
        <f t="shared" si="1"/>
        <v>X</v>
      </c>
      <c r="F88" s="39" t="str">
        <f t="shared" si="1"/>
        <v>X</v>
      </c>
      <c r="G88" s="39" t="str">
        <f t="shared" si="1"/>
        <v>X</v>
      </c>
      <c r="H88" s="39" t="str">
        <f t="shared" si="1"/>
        <v>X</v>
      </c>
      <c r="I88" s="39" t="str">
        <f t="shared" si="1"/>
        <v>X</v>
      </c>
      <c r="J88" s="39" t="str">
        <f t="shared" si="1"/>
        <v>X</v>
      </c>
      <c r="K88" s="39" t="str">
        <f t="shared" si="1"/>
        <v>X</v>
      </c>
      <c r="L88" s="39" t="str">
        <f t="shared" si="1"/>
        <v>X</v>
      </c>
      <c r="M88" s="39" t="str">
        <f t="shared" si="1"/>
        <v>X</v>
      </c>
      <c r="N88" s="39" t="str">
        <f t="shared" si="1"/>
        <v>X</v>
      </c>
      <c r="O88" s="39" t="str">
        <f t="shared" si="1"/>
        <v>X</v>
      </c>
      <c r="P88" s="83" t="str">
        <f t="shared" si="1"/>
        <v>X</v>
      </c>
    </row>
    <row r="89" spans="1:16" x14ac:dyDescent="0.2">
      <c r="A89" s="60"/>
      <c r="B89" s="37">
        <v>9</v>
      </c>
      <c r="D89" s="82" t="str">
        <f t="shared" si="1"/>
        <v>X</v>
      </c>
      <c r="E89" s="39" t="str">
        <f t="shared" si="1"/>
        <v>X</v>
      </c>
      <c r="F89" s="39" t="str">
        <f t="shared" si="1"/>
        <v>X</v>
      </c>
      <c r="G89" s="39" t="str">
        <f t="shared" si="1"/>
        <v>X</v>
      </c>
      <c r="H89" s="39" t="str">
        <f t="shared" si="1"/>
        <v>X</v>
      </c>
      <c r="I89" s="39" t="str">
        <f t="shared" si="1"/>
        <v>X</v>
      </c>
      <c r="J89" s="39" t="str">
        <f t="shared" si="1"/>
        <v>X</v>
      </c>
      <c r="K89" s="39" t="str">
        <f t="shared" si="1"/>
        <v>X</v>
      </c>
      <c r="L89" s="39" t="str">
        <f t="shared" si="1"/>
        <v>X</v>
      </c>
      <c r="M89" s="39" t="str">
        <f t="shared" si="1"/>
        <v>X</v>
      </c>
      <c r="N89" s="39" t="str">
        <f t="shared" si="1"/>
        <v>X</v>
      </c>
      <c r="O89" s="39" t="str">
        <f t="shared" si="1"/>
        <v>X</v>
      </c>
      <c r="P89" s="83" t="str">
        <f t="shared" si="1"/>
        <v>X</v>
      </c>
    </row>
    <row r="90" spans="1:16" x14ac:dyDescent="0.2">
      <c r="A90" s="60"/>
      <c r="B90" s="37">
        <v>10</v>
      </c>
      <c r="D90" s="82" t="str">
        <f t="shared" si="1"/>
        <v>X</v>
      </c>
      <c r="E90" s="39" t="str">
        <f t="shared" si="1"/>
        <v>X</v>
      </c>
      <c r="F90" s="39" t="str">
        <f t="shared" si="1"/>
        <v>X</v>
      </c>
      <c r="G90" s="39" t="str">
        <f t="shared" si="1"/>
        <v>X</v>
      </c>
      <c r="H90" s="39" t="str">
        <f t="shared" si="1"/>
        <v>X</v>
      </c>
      <c r="I90" s="39" t="str">
        <f t="shared" si="1"/>
        <v>X</v>
      </c>
      <c r="J90" s="39" t="str">
        <f t="shared" si="1"/>
        <v>X</v>
      </c>
      <c r="K90" s="39" t="str">
        <f t="shared" si="1"/>
        <v>X</v>
      </c>
      <c r="L90" s="39" t="str">
        <f t="shared" si="1"/>
        <v>X</v>
      </c>
      <c r="M90" s="39" t="str">
        <f t="shared" si="1"/>
        <v>X</v>
      </c>
      <c r="N90" s="39" t="str">
        <f t="shared" si="1"/>
        <v>X</v>
      </c>
      <c r="O90" s="39" t="str">
        <f t="shared" si="1"/>
        <v>X</v>
      </c>
      <c r="P90" s="83" t="str">
        <f t="shared" si="1"/>
        <v>X</v>
      </c>
    </row>
    <row r="91" spans="1:16" x14ac:dyDescent="0.2">
      <c r="A91" s="60"/>
      <c r="B91" s="37">
        <v>11</v>
      </c>
      <c r="D91" s="82" t="str">
        <f t="shared" si="1"/>
        <v>X</v>
      </c>
      <c r="E91" s="39" t="str">
        <f t="shared" si="1"/>
        <v>X</v>
      </c>
      <c r="F91" s="39" t="str">
        <f t="shared" si="1"/>
        <v>X</v>
      </c>
      <c r="G91" s="39" t="str">
        <f t="shared" si="1"/>
        <v>X</v>
      </c>
      <c r="H91" s="39" t="str">
        <f t="shared" si="1"/>
        <v>X</v>
      </c>
      <c r="I91" s="39" t="str">
        <f t="shared" si="1"/>
        <v>X</v>
      </c>
      <c r="J91" s="39" t="str">
        <f t="shared" si="1"/>
        <v>X</v>
      </c>
      <c r="K91" s="39" t="str">
        <f t="shared" si="1"/>
        <v>X</v>
      </c>
      <c r="L91" s="39" t="str">
        <f t="shared" si="1"/>
        <v>X</v>
      </c>
      <c r="M91" s="39" t="str">
        <f t="shared" si="1"/>
        <v>X</v>
      </c>
      <c r="N91" s="39" t="str">
        <f t="shared" si="1"/>
        <v>X</v>
      </c>
      <c r="O91" s="39" t="str">
        <f t="shared" si="1"/>
        <v>X</v>
      </c>
      <c r="P91" s="83" t="str">
        <f t="shared" si="1"/>
        <v>X</v>
      </c>
    </row>
    <row r="92" spans="1:16" x14ac:dyDescent="0.2">
      <c r="A92" s="60"/>
      <c r="B92" s="37">
        <v>12</v>
      </c>
      <c r="D92" s="82" t="str">
        <f t="shared" si="1"/>
        <v>X</v>
      </c>
      <c r="E92" s="39" t="str">
        <f t="shared" si="1"/>
        <v>X</v>
      </c>
      <c r="F92" s="39" t="str">
        <f t="shared" si="1"/>
        <v>X</v>
      </c>
      <c r="G92" s="39" t="str">
        <f t="shared" si="1"/>
        <v>X</v>
      </c>
      <c r="H92" s="39" t="str">
        <f t="shared" si="1"/>
        <v>X</v>
      </c>
      <c r="I92" s="39" t="str">
        <f t="shared" si="1"/>
        <v>X</v>
      </c>
      <c r="J92" s="39" t="str">
        <f t="shared" si="1"/>
        <v>X</v>
      </c>
      <c r="K92" s="39" t="str">
        <f t="shared" si="1"/>
        <v>X</v>
      </c>
      <c r="L92" s="39" t="str">
        <f t="shared" si="1"/>
        <v>X</v>
      </c>
      <c r="M92" s="39" t="str">
        <f t="shared" si="1"/>
        <v>X</v>
      </c>
      <c r="N92" s="39" t="str">
        <f t="shared" si="1"/>
        <v>X</v>
      </c>
      <c r="O92" s="39" t="str">
        <f t="shared" si="1"/>
        <v>X</v>
      </c>
      <c r="P92" s="83" t="str">
        <f t="shared" si="1"/>
        <v>X</v>
      </c>
    </row>
    <row r="93" spans="1:16" x14ac:dyDescent="0.2">
      <c r="A93" s="60"/>
      <c r="B93" s="37">
        <v>13</v>
      </c>
      <c r="D93" s="84" t="str">
        <f t="shared" si="1"/>
        <v>X</v>
      </c>
      <c r="E93" s="85" t="str">
        <f t="shared" si="1"/>
        <v>X</v>
      </c>
      <c r="F93" s="85" t="str">
        <f t="shared" si="1"/>
        <v>X</v>
      </c>
      <c r="G93" s="85" t="str">
        <f t="shared" si="1"/>
        <v>X</v>
      </c>
      <c r="H93" s="85" t="str">
        <f t="shared" si="1"/>
        <v>X</v>
      </c>
      <c r="I93" s="85" t="str">
        <f t="shared" si="1"/>
        <v>X</v>
      </c>
      <c r="J93" s="85" t="str">
        <f t="shared" si="1"/>
        <v>X</v>
      </c>
      <c r="K93" s="85" t="str">
        <f t="shared" si="1"/>
        <v>X</v>
      </c>
      <c r="L93" s="85" t="str">
        <f t="shared" si="1"/>
        <v>X</v>
      </c>
      <c r="M93" s="85" t="str">
        <f t="shared" si="1"/>
        <v>X</v>
      </c>
      <c r="N93" s="85" t="str">
        <f t="shared" si="1"/>
        <v>X</v>
      </c>
      <c r="O93" s="85" t="str">
        <f t="shared" si="1"/>
        <v>X</v>
      </c>
      <c r="P93" s="86" t="str">
        <f t="shared" si="1"/>
        <v>X</v>
      </c>
    </row>
    <row r="94" spans="1:16" x14ac:dyDescent="0.2">
      <c r="D94" s="1">
        <f t="shared" ref="D94:P94" si="2">IF(D76&gt;0, IF(D53&gt;0, "X", -1), -1)</f>
        <v>-1</v>
      </c>
      <c r="E94" s="1">
        <f t="shared" si="2"/>
        <v>-1</v>
      </c>
      <c r="F94" s="1">
        <f t="shared" si="2"/>
        <v>-1</v>
      </c>
      <c r="G94" s="1">
        <f t="shared" si="2"/>
        <v>-1</v>
      </c>
      <c r="H94" s="1">
        <f t="shared" si="2"/>
        <v>-1</v>
      </c>
      <c r="I94" s="1">
        <f t="shared" si="2"/>
        <v>-1</v>
      </c>
      <c r="J94" s="1">
        <f t="shared" si="2"/>
        <v>-1</v>
      </c>
      <c r="K94" s="1">
        <f t="shared" si="2"/>
        <v>-1</v>
      </c>
      <c r="L94" s="1">
        <f t="shared" si="2"/>
        <v>-1</v>
      </c>
      <c r="M94" s="1">
        <f t="shared" si="2"/>
        <v>-1</v>
      </c>
      <c r="N94" s="1">
        <f t="shared" si="2"/>
        <v>-1</v>
      </c>
      <c r="O94" s="1">
        <f t="shared" si="2"/>
        <v>-1</v>
      </c>
      <c r="P94" s="1">
        <f t="shared" si="2"/>
        <v>-1</v>
      </c>
    </row>
  </sheetData>
  <mergeCells count="7">
    <mergeCell ref="A78:B78"/>
    <mergeCell ref="B20:E20"/>
    <mergeCell ref="B27:E27"/>
    <mergeCell ref="B35:P35"/>
    <mergeCell ref="B56:P56"/>
    <mergeCell ref="A58:B58"/>
    <mergeCell ref="B76:P76"/>
  </mergeCells>
  <conditionalFormatting sqref="H9:H10">
    <cfRule type="cellIs" dxfId="141" priority="19" operator="lessThan">
      <formula>0</formula>
    </cfRule>
    <cfRule type="cellIs" dxfId="140" priority="20" operator="greaterThan">
      <formula>0</formula>
    </cfRule>
  </conditionalFormatting>
  <conditionalFormatting sqref="H6:H7">
    <cfRule type="cellIs" dxfId="139" priority="21" operator="lessThan">
      <formula>0</formula>
    </cfRule>
    <cfRule type="cellIs" dxfId="138" priority="22" operator="greaterThan">
      <formula>0</formula>
    </cfRule>
  </conditionalFormatting>
  <conditionalFormatting sqref="D30:E31">
    <cfRule type="cellIs" dxfId="137" priority="17" operator="lessThan">
      <formula>0</formula>
    </cfRule>
    <cfRule type="cellIs" dxfId="136" priority="18" operator="greaterThan">
      <formula>0</formula>
    </cfRule>
  </conditionalFormatting>
  <conditionalFormatting sqref="D40:H44">
    <cfRule type="cellIs" dxfId="135" priority="16" operator="greaterThan">
      <formula>0</formula>
    </cfRule>
  </conditionalFormatting>
  <conditionalFormatting sqref="D42:D44">
    <cfRule type="cellIs" dxfId="134" priority="15" operator="lessThan">
      <formula>0</formula>
    </cfRule>
  </conditionalFormatting>
  <conditionalFormatting sqref="D40:P52">
    <cfRule type="cellIs" dxfId="133" priority="13" operator="lessThan">
      <formula>0</formula>
    </cfRule>
    <cfRule type="cellIs" dxfId="132" priority="14" operator="greaterThan">
      <formula>0</formula>
    </cfRule>
  </conditionalFormatting>
  <conditionalFormatting sqref="D61:H65">
    <cfRule type="cellIs" dxfId="131" priority="12" operator="greaterThan">
      <formula>0</formula>
    </cfRule>
  </conditionalFormatting>
  <conditionalFormatting sqref="D63:D65">
    <cfRule type="cellIs" dxfId="130" priority="11" operator="lessThan">
      <formula>0</formula>
    </cfRule>
  </conditionalFormatting>
  <conditionalFormatting sqref="D61:P75">
    <cfRule type="cellIs" dxfId="129" priority="9" operator="lessThan">
      <formula>0</formula>
    </cfRule>
    <cfRule type="cellIs" dxfId="128" priority="10" operator="greaterThan">
      <formula>0</formula>
    </cfRule>
  </conditionalFormatting>
  <conditionalFormatting sqref="D81:P94">
    <cfRule type="cellIs" dxfId="127" priority="8" operator="lessThan">
      <formula>0</formula>
    </cfRule>
  </conditionalFormatting>
  <conditionalFormatting sqref="D81:P93">
    <cfRule type="cellIs" dxfId="126" priority="1" operator="equal">
      <formula>$H$78</formula>
    </cfRule>
    <cfRule type="cellIs" dxfId="125" priority="4" operator="equal">
      <formula>"X"</formula>
    </cfRule>
    <cfRule type="cellIs" dxfId="124" priority="5" operator="equal">
      <formula>"X"</formula>
    </cfRule>
    <cfRule type="cellIs" dxfId="123" priority="6" operator="lessThan">
      <formula>0</formula>
    </cfRule>
    <cfRule type="cellIs" dxfId="122" priority="7" operator="lessThan">
      <formula>0</formula>
    </cfRule>
  </conditionalFormatting>
  <dataValidations count="1">
    <dataValidation type="list" allowBlank="1" showInputMessage="1" showErrorMessage="1" sqref="I6:I7 I9:I10" xr:uid="{7435D2D5-0BAA-DE41-9D76-F804D6B88042}">
      <formula1>"Winning Bet, Losing Bet, No Bet"</formula1>
    </dataValidation>
  </dataValidations>
  <pageMargins left="0.7" right="0.7" top="0.75" bottom="0.75" header="0.3" footer="0.3"/>
  <pageSetup orientation="portrait" horizontalDpi="0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10ECFCB-0BF2-D748-8400-1ED8F796FC51}">
            <xm:f>NOT(ISERROR(SEARCH($A$87,D81)))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D81:P93</xm:sqref>
        </x14:conditionalFormatting>
        <x14:conditionalFormatting xmlns:xm="http://schemas.microsoft.com/office/excel/2006/main">
          <x14:cfRule type="containsText" priority="3" operator="containsText" id="{9A4B9A97-4510-2943-B356-24E27CC220CD}">
            <xm:f>NOT(ISERROR(SEARCH($A$87,K97)))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K97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8715-E65C-484A-851F-5E1E1AAE3067}">
  <dimension ref="A2:K33"/>
  <sheetViews>
    <sheetView zoomScale="88" workbookViewId="0">
      <selection activeCell="J10" sqref="J10"/>
    </sheetView>
  </sheetViews>
  <sheetFormatPr baseColWidth="10" defaultColWidth="8.83203125" defaultRowHeight="15" x14ac:dyDescent="0.2"/>
  <cols>
    <col min="1" max="1" width="25.6640625" style="32" customWidth="1"/>
    <col min="2" max="2" width="25.6640625" style="29" customWidth="1"/>
    <col min="8" max="8" width="15.5" customWidth="1"/>
  </cols>
  <sheetData>
    <row r="2" spans="1:11" x14ac:dyDescent="0.2">
      <c r="A2" s="89" t="s">
        <v>60</v>
      </c>
      <c r="B2" s="89"/>
    </row>
    <row r="3" spans="1:11" ht="16" thickBot="1" x14ac:dyDescent="0.25">
      <c r="A3" s="31" t="s">
        <v>62</v>
      </c>
      <c r="B3" s="28" t="s">
        <v>63</v>
      </c>
    </row>
    <row r="5" spans="1:11" x14ac:dyDescent="0.2">
      <c r="A5" s="33" t="s">
        <v>64</v>
      </c>
      <c r="B5" s="30" t="s">
        <v>71</v>
      </c>
    </row>
    <row r="6" spans="1:11" x14ac:dyDescent="0.2">
      <c r="A6" s="32" t="s">
        <v>28</v>
      </c>
      <c r="B6" s="29" t="s">
        <v>25</v>
      </c>
      <c r="G6" s="90" t="s">
        <v>73</v>
      </c>
      <c r="H6" s="91"/>
      <c r="J6" s="90" t="s">
        <v>74</v>
      </c>
      <c r="K6" s="91"/>
    </row>
    <row r="7" spans="1:11" x14ac:dyDescent="0.2">
      <c r="A7" s="32" t="s">
        <v>11</v>
      </c>
      <c r="B7" s="29" t="s">
        <v>16</v>
      </c>
      <c r="G7" s="34">
        <v>-500</v>
      </c>
      <c r="H7" s="35">
        <f>IF(G7&lt;0,ABS(G7)/(ABS(G7)+100), 100/ (G7 +100 ))</f>
        <v>0.83333333333333337</v>
      </c>
      <c r="J7" s="34">
        <v>-185</v>
      </c>
      <c r="K7" s="10">
        <f>IF(J7&gt;0, ABS(J7/100), ABS(100/J7))</f>
        <v>0.54054054054054057</v>
      </c>
    </row>
    <row r="8" spans="1:11" x14ac:dyDescent="0.2">
      <c r="A8" s="32" t="s">
        <v>13</v>
      </c>
      <c r="B8" s="29" t="s">
        <v>40</v>
      </c>
    </row>
    <row r="9" spans="1:11" x14ac:dyDescent="0.2">
      <c r="A9" s="32" t="s">
        <v>3</v>
      </c>
      <c r="B9" s="29" t="s">
        <v>24</v>
      </c>
      <c r="J9">
        <v>36</v>
      </c>
      <c r="K9">
        <f>(K7+1)*J9</f>
        <v>55.45945945945946</v>
      </c>
    </row>
    <row r="11" spans="1:11" x14ac:dyDescent="0.2">
      <c r="A11" s="33" t="s">
        <v>65</v>
      </c>
      <c r="B11" s="30" t="s">
        <v>70</v>
      </c>
    </row>
    <row r="12" spans="1:11" x14ac:dyDescent="0.2">
      <c r="A12" s="32" t="s">
        <v>23</v>
      </c>
      <c r="B12" s="29" t="s">
        <v>27</v>
      </c>
    </row>
    <row r="13" spans="1:11" x14ac:dyDescent="0.2">
      <c r="A13" s="32" t="s">
        <v>5</v>
      </c>
      <c r="B13" s="29" t="s">
        <v>0</v>
      </c>
    </row>
    <row r="14" spans="1:11" x14ac:dyDescent="0.2">
      <c r="A14" s="32" t="s">
        <v>21</v>
      </c>
      <c r="B14" s="29" t="s">
        <v>26</v>
      </c>
    </row>
    <row r="15" spans="1:11" x14ac:dyDescent="0.2">
      <c r="A15" s="32" t="s">
        <v>29</v>
      </c>
      <c r="B15" s="29" t="s">
        <v>72</v>
      </c>
    </row>
    <row r="17" spans="1:2" x14ac:dyDescent="0.2">
      <c r="A17" s="33" t="s">
        <v>66</v>
      </c>
      <c r="B17" s="30" t="s">
        <v>69</v>
      </c>
    </row>
    <row r="18" spans="1:2" x14ac:dyDescent="0.2">
      <c r="A18" s="32" t="s">
        <v>10</v>
      </c>
      <c r="B18" s="29" t="s">
        <v>9</v>
      </c>
    </row>
    <row r="19" spans="1:2" x14ac:dyDescent="0.2">
      <c r="A19" s="32" t="s">
        <v>31</v>
      </c>
      <c r="B19" s="29" t="s">
        <v>20</v>
      </c>
    </row>
    <row r="20" spans="1:2" x14ac:dyDescent="0.2">
      <c r="A20" s="32" t="s">
        <v>22</v>
      </c>
      <c r="B20" s="29" t="s">
        <v>8</v>
      </c>
    </row>
    <row r="21" spans="1:2" x14ac:dyDescent="0.2">
      <c r="A21" s="32" t="s">
        <v>6</v>
      </c>
      <c r="B21" s="29" t="s">
        <v>7</v>
      </c>
    </row>
    <row r="23" spans="1:2" x14ac:dyDescent="0.2">
      <c r="A23" s="33" t="s">
        <v>67</v>
      </c>
      <c r="B23" s="30" t="s">
        <v>68</v>
      </c>
    </row>
    <row r="24" spans="1:2" x14ac:dyDescent="0.2">
      <c r="A24" s="32" t="s">
        <v>18</v>
      </c>
      <c r="B24" s="29" t="s">
        <v>12</v>
      </c>
    </row>
    <row r="25" spans="1:2" x14ac:dyDescent="0.2">
      <c r="A25" s="32" t="s">
        <v>14</v>
      </c>
      <c r="B25" s="29" t="s">
        <v>17</v>
      </c>
    </row>
    <row r="26" spans="1:2" x14ac:dyDescent="0.2">
      <c r="A26" s="32" t="s">
        <v>30</v>
      </c>
      <c r="B26" s="29" t="s">
        <v>15</v>
      </c>
    </row>
    <row r="27" spans="1:2" x14ac:dyDescent="0.2">
      <c r="A27" s="32" t="s">
        <v>19</v>
      </c>
      <c r="B27" s="29" t="s">
        <v>4</v>
      </c>
    </row>
    <row r="33" spans="3:3" x14ac:dyDescent="0.2">
      <c r="C33" s="27"/>
    </row>
  </sheetData>
  <mergeCells count="3">
    <mergeCell ref="A2:B2"/>
    <mergeCell ref="G6:H6"/>
    <mergeCell ref="J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4A5A-192E-49EC-B448-A53437A96D0E}">
  <sheetPr codeName="Sheet1"/>
  <dimension ref="A1:AG74"/>
  <sheetViews>
    <sheetView zoomScale="65" zoomScaleNormal="65" workbookViewId="0">
      <pane ySplit="2" topLeftCell="A3" activePane="bottomLeft" state="frozen"/>
      <selection activeCell="D77" sqref="D77"/>
      <selection pane="bottomLeft" activeCell="G4" sqref="G4"/>
    </sheetView>
  </sheetViews>
  <sheetFormatPr baseColWidth="10" defaultColWidth="8.83203125" defaultRowHeight="17.5" customHeight="1" x14ac:dyDescent="0.2"/>
  <cols>
    <col min="1" max="1" width="20.6640625" bestFit="1" customWidth="1"/>
    <col min="2" max="2" width="6.6640625" style="73" customWidth="1"/>
    <col min="3" max="3" width="6.6640625" customWidth="1"/>
    <col min="4" max="4" width="40.6640625" customWidth="1"/>
    <col min="5" max="8" width="17.6640625" style="1" customWidth="1"/>
    <col min="9" max="10" width="17.6640625" customWidth="1"/>
    <col min="11" max="11" width="11.83203125" bestFit="1" customWidth="1"/>
    <col min="12" max="12" width="9.1640625" bestFit="1" customWidth="1"/>
  </cols>
  <sheetData>
    <row r="1" spans="1:12" ht="17.5" customHeight="1" thickBot="1" x14ac:dyDescent="0.25">
      <c r="A1" s="96" t="s">
        <v>61</v>
      </c>
      <c r="B1" s="96"/>
      <c r="C1" s="96"/>
      <c r="D1" s="96"/>
      <c r="E1" s="96"/>
      <c r="F1" s="96"/>
      <c r="G1" s="96"/>
      <c r="H1" s="96"/>
      <c r="I1" s="96"/>
      <c r="J1" s="96"/>
      <c r="K1" s="25" t="s">
        <v>57</v>
      </c>
      <c r="L1" s="26">
        <f>E56</f>
        <v>110</v>
      </c>
    </row>
    <row r="2" spans="1:12" ht="17.5" customHeight="1" thickBot="1" x14ac:dyDescent="0.25">
      <c r="A2" s="21" t="s">
        <v>48</v>
      </c>
      <c r="B2" s="71"/>
      <c r="C2" s="22"/>
      <c r="D2" s="22" t="s">
        <v>39</v>
      </c>
      <c r="E2" s="23" t="s">
        <v>2</v>
      </c>
      <c r="F2" s="23" t="s">
        <v>46</v>
      </c>
      <c r="G2" s="23" t="s">
        <v>32</v>
      </c>
      <c r="H2" s="23" t="s">
        <v>58</v>
      </c>
      <c r="I2" s="23" t="s">
        <v>45</v>
      </c>
      <c r="J2" s="24" t="s">
        <v>33</v>
      </c>
      <c r="K2" s="25" t="s">
        <v>37</v>
      </c>
      <c r="L2" s="26">
        <f>E57</f>
        <v>-1.9428294830899375</v>
      </c>
    </row>
    <row r="4" spans="1:12" ht="17.5" customHeight="1" x14ac:dyDescent="0.2">
      <c r="A4" s="92">
        <v>44476</v>
      </c>
      <c r="B4" s="70">
        <v>26</v>
      </c>
      <c r="C4" s="6" t="s">
        <v>47</v>
      </c>
      <c r="D4" s="7" t="s">
        <v>0</v>
      </c>
      <c r="E4" s="8">
        <v>-150</v>
      </c>
      <c r="F4" s="9">
        <f>IF(E4&lt;0,ABS(E4)/(ABS(E4)+100), 100/ (E4 +100 ))</f>
        <v>0.6</v>
      </c>
      <c r="G4" s="10">
        <f>IF(E4&gt;0, ABS(E4/100), ABS(100/E4))</f>
        <v>0.66666666666666663</v>
      </c>
      <c r="H4" s="8">
        <v>0</v>
      </c>
      <c r="I4" s="11">
        <f>IF(J4 = "Winning Bet", H4*G4+H4, IF(J4 = "Losing Bet", -H4, 0))</f>
        <v>0</v>
      </c>
      <c r="J4" s="12" t="s">
        <v>35</v>
      </c>
    </row>
    <row r="5" spans="1:12" ht="17.5" customHeight="1" x14ac:dyDescent="0.2">
      <c r="A5" s="93"/>
      <c r="B5" s="72">
        <v>17</v>
      </c>
      <c r="C5" s="13"/>
      <c r="D5" s="14" t="s">
        <v>72</v>
      </c>
      <c r="E5" s="15" t="s">
        <v>41</v>
      </c>
      <c r="F5" s="16">
        <f>IF(E5&lt;0,ABS(E5)/(ABS(E5)+100), 100/ (E5 +100 ))</f>
        <v>0.45454545454545453</v>
      </c>
      <c r="G5" s="17">
        <f>IF(E5&gt;0, ABS(E5/100), ABS(100/E5))</f>
        <v>1.2</v>
      </c>
      <c r="H5" s="18">
        <v>5</v>
      </c>
      <c r="I5" s="19">
        <f>IF(J5 = "Winning Bet", H5*G5+H5, IF(J5 = "Losing Bet", -H5, 0))</f>
        <v>-5</v>
      </c>
      <c r="J5" s="20" t="s">
        <v>36</v>
      </c>
    </row>
    <row r="6" spans="1:12" ht="17.5" customHeight="1" x14ac:dyDescent="0.2">
      <c r="E6" s="59"/>
      <c r="F6" s="2"/>
    </row>
    <row r="7" spans="1:12" ht="17.5" customHeight="1" x14ac:dyDescent="0.2">
      <c r="A7" s="92">
        <v>44479</v>
      </c>
      <c r="B7" s="70">
        <v>20</v>
      </c>
      <c r="C7" s="6"/>
      <c r="D7" s="7" t="s">
        <v>3</v>
      </c>
      <c r="E7" s="58">
        <v>130</v>
      </c>
      <c r="F7" s="9">
        <f>IF(E7&lt;0,ABS(E7)/(ABS(E7)+100), 100/ (E7 +100 ))</f>
        <v>0.43478260869565216</v>
      </c>
      <c r="G7" s="10">
        <f>IF(E7&gt;0, ABS(E7/100), ABS(100/E7))</f>
        <v>1.3</v>
      </c>
      <c r="H7" s="8">
        <v>5</v>
      </c>
      <c r="I7" s="11">
        <f>IF(J7 = "Winning Bet", H7*G7+H7, IF(J7 = "Losing Bet", -H7, 0))</f>
        <v>-5</v>
      </c>
      <c r="J7" s="12" t="s">
        <v>36</v>
      </c>
    </row>
    <row r="8" spans="1:12" ht="17.5" customHeight="1" x14ac:dyDescent="0.2">
      <c r="A8" s="93"/>
      <c r="B8" s="72">
        <v>27</v>
      </c>
      <c r="C8" s="13" t="s">
        <v>47</v>
      </c>
      <c r="D8" s="14" t="s">
        <v>4</v>
      </c>
      <c r="E8" s="15">
        <v>-145</v>
      </c>
      <c r="F8" s="16">
        <f>IF(E8&lt;0,ABS(E8)/(ABS(E8)+100), 100/ (E8 +100 ))</f>
        <v>0.59183673469387754</v>
      </c>
      <c r="G8" s="17">
        <f>IF(E8&gt;0, ABS(E8/100), ABS(100/E8))</f>
        <v>0.68965517241379315</v>
      </c>
      <c r="H8" s="18">
        <v>0</v>
      </c>
      <c r="I8" s="19">
        <f>IF(J8 = "Winning Bet", H8*G8+H8, IF(J8 = "Losing Bet", -H8, 0))</f>
        <v>0</v>
      </c>
      <c r="J8" s="20" t="s">
        <v>35</v>
      </c>
    </row>
    <row r="9" spans="1:12" ht="17.5" customHeight="1" x14ac:dyDescent="0.2">
      <c r="E9" s="59"/>
      <c r="F9" s="2"/>
    </row>
    <row r="10" spans="1:12" ht="17.5" customHeight="1" x14ac:dyDescent="0.2">
      <c r="A10" s="92">
        <v>44479</v>
      </c>
      <c r="B10" s="70">
        <v>19</v>
      </c>
      <c r="C10" s="6"/>
      <c r="D10" s="7" t="s">
        <v>5</v>
      </c>
      <c r="E10" s="58">
        <v>-130</v>
      </c>
      <c r="F10" s="9">
        <f>IF(E10&lt;0,ABS(E10)/(ABS(E10)+100), 100/ (E10 +100 ))</f>
        <v>0.56521739130434778</v>
      </c>
      <c r="G10" s="10">
        <f>IF(E10&gt;0, ABS(E10/100), ABS(100/E10))</f>
        <v>0.76923076923076927</v>
      </c>
      <c r="H10" s="8">
        <v>5</v>
      </c>
      <c r="I10" s="11">
        <f>IF(J10 = "Winning Bet", H10*G10+H10, IF(J10 = "Losing Bet", -H10, 0))</f>
        <v>-5</v>
      </c>
      <c r="J10" s="12" t="s">
        <v>36</v>
      </c>
    </row>
    <row r="11" spans="1:12" ht="17.5" customHeight="1" x14ac:dyDescent="0.2">
      <c r="A11" s="93"/>
      <c r="B11" s="72">
        <v>27</v>
      </c>
      <c r="C11" s="13" t="s">
        <v>47</v>
      </c>
      <c r="D11" s="14" t="s">
        <v>6</v>
      </c>
      <c r="E11" s="15">
        <v>110</v>
      </c>
      <c r="F11" s="16">
        <f>IF(E11&lt;0,ABS(E11)/(ABS(E11)+100), 100/ (E11 +100 ))</f>
        <v>0.47619047619047616</v>
      </c>
      <c r="G11" s="17">
        <f>IF(E11&gt;0, ABS(E11/100), ABS(100/E11))</f>
        <v>1.1000000000000001</v>
      </c>
      <c r="H11" s="18">
        <v>0</v>
      </c>
      <c r="I11" s="19">
        <f>IF(J11 = "Winning Bet", H11*G11+H11, IF(J11 = "Losing Bet", -H11, 0))</f>
        <v>0</v>
      </c>
      <c r="J11" s="20" t="s">
        <v>35</v>
      </c>
    </row>
    <row r="12" spans="1:12" ht="17.5" customHeight="1" x14ac:dyDescent="0.2">
      <c r="E12" s="2"/>
      <c r="F12" s="2"/>
    </row>
    <row r="13" spans="1:12" ht="17.5" customHeight="1" x14ac:dyDescent="0.2">
      <c r="A13" s="92">
        <v>44479</v>
      </c>
      <c r="B13" s="70">
        <v>17</v>
      </c>
      <c r="C13" s="6"/>
      <c r="D13" s="7" t="s">
        <v>7</v>
      </c>
      <c r="E13" s="8">
        <v>345</v>
      </c>
      <c r="F13" s="9">
        <f>IF(E13&lt;0,ABS(E13)/(ABS(E13)+100), 100/ (E13 +100 ))</f>
        <v>0.2247191011235955</v>
      </c>
      <c r="G13" s="10">
        <f>IF(E13&gt;0, ABS(E13/100), ABS(100/E13))</f>
        <v>3.45</v>
      </c>
      <c r="H13" s="8">
        <v>0</v>
      </c>
      <c r="I13" s="11">
        <f>IF(J13 = "Winning Bet", H13*G13+H13, IF(J13 = "Losing Bet", -H13, 0))</f>
        <v>0</v>
      </c>
      <c r="J13" s="12" t="s">
        <v>35</v>
      </c>
    </row>
    <row r="14" spans="1:12" ht="17.5" customHeight="1" x14ac:dyDescent="0.2">
      <c r="A14" s="93"/>
      <c r="B14" s="72">
        <v>19</v>
      </c>
      <c r="C14" s="13" t="s">
        <v>47</v>
      </c>
      <c r="D14" s="14" t="s">
        <v>8</v>
      </c>
      <c r="E14" s="15">
        <v>-470</v>
      </c>
      <c r="F14" s="16">
        <f>IF(E14&lt;0,ABS(E14)/(ABS(E14)+100), 100/ (E14 +100 ))</f>
        <v>0.82456140350877194</v>
      </c>
      <c r="G14" s="17">
        <f>IF(E14&gt;0, ABS(E14/100), ABS(100/E14))</f>
        <v>0.21276595744680851</v>
      </c>
      <c r="H14" s="18">
        <v>10</v>
      </c>
      <c r="I14" s="19">
        <f>IF(J14 = "Winning Bet", H14*G14+H14, IF(J14 = "Losing Bet", -H14, 0))</f>
        <v>12.127659574468085</v>
      </c>
      <c r="J14" s="20" t="s">
        <v>34</v>
      </c>
    </row>
    <row r="15" spans="1:12" ht="17.5" customHeight="1" x14ac:dyDescent="0.2">
      <c r="E15" s="2"/>
      <c r="F15" s="2"/>
    </row>
    <row r="16" spans="1:12" ht="17.5" customHeight="1" x14ac:dyDescent="0.2">
      <c r="A16" s="92">
        <v>44479</v>
      </c>
      <c r="B16" s="70">
        <v>25</v>
      </c>
      <c r="C16" s="6" t="s">
        <v>47</v>
      </c>
      <c r="D16" s="7" t="s">
        <v>9</v>
      </c>
      <c r="E16" s="8">
        <v>-160</v>
      </c>
      <c r="F16" s="9">
        <f>IF(E16&lt;0,ABS(E16)/(ABS(E16)+100), 100/ (E16 +100 ))</f>
        <v>0.61538461538461542</v>
      </c>
      <c r="G16" s="10">
        <f>IF(E16&gt;0, ABS(E16/100), ABS(100/E16))</f>
        <v>0.625</v>
      </c>
      <c r="H16" s="8">
        <v>5</v>
      </c>
      <c r="I16" s="11">
        <f>IF(J16 = "Winning Bet", H16*G16+H16, IF(J16 = "Losing Bet", -H16, 0))</f>
        <v>8.125</v>
      </c>
      <c r="J16" s="12" t="s">
        <v>34</v>
      </c>
    </row>
    <row r="17" spans="1:33" ht="17.5" customHeight="1" x14ac:dyDescent="0.2">
      <c r="A17" s="93"/>
      <c r="B17" s="72">
        <v>22</v>
      </c>
      <c r="C17" s="13"/>
      <c r="D17" s="14" t="s">
        <v>10</v>
      </c>
      <c r="E17" s="15" t="s">
        <v>43</v>
      </c>
      <c r="F17" s="16">
        <f>IF(E17&lt;0,ABS(E17)/(ABS(E17)+100), 100/ (E17 +100 ))</f>
        <v>0.42553191489361702</v>
      </c>
      <c r="G17" s="17">
        <f>IF(E17&gt;0, ABS(E17/100), ABS(100/E17))</f>
        <v>1.35</v>
      </c>
      <c r="H17" s="18">
        <v>0</v>
      </c>
      <c r="I17" s="19">
        <f>IF(J17 = "Winning Bet", H17*G17+H17, IF(J17 = "Losing Bet", -H17, 0))</f>
        <v>0</v>
      </c>
      <c r="J17" s="20" t="s">
        <v>35</v>
      </c>
    </row>
    <row r="18" spans="1:33" ht="17.5" customHeight="1" x14ac:dyDescent="0.2">
      <c r="E18" s="2"/>
      <c r="F18" s="2"/>
    </row>
    <row r="19" spans="1:33" ht="17.5" customHeight="1" x14ac:dyDescent="0.2">
      <c r="A19" s="92">
        <v>44479</v>
      </c>
      <c r="B19" s="70">
        <v>17</v>
      </c>
      <c r="C19" s="6"/>
      <c r="D19" s="7" t="s">
        <v>11</v>
      </c>
      <c r="E19" s="8">
        <v>460</v>
      </c>
      <c r="F19" s="9">
        <f>IF(E19&lt;0,ABS(E19)/(ABS(E19)+100), 100/ (E19 +100 ))</f>
        <v>0.17857142857142858</v>
      </c>
      <c r="G19" s="10">
        <f>IF(E19&gt;0, ABS(E19/100), ABS(100/E19))</f>
        <v>4.5999999999999996</v>
      </c>
      <c r="H19" s="8">
        <v>0</v>
      </c>
      <c r="I19" s="11">
        <f>IF(J19 = "Winning Bet", H19*G19+H19, IF(J19 = "Losing Bet", -H19, 0))</f>
        <v>0</v>
      </c>
      <c r="J19" s="12" t="s">
        <v>35</v>
      </c>
    </row>
    <row r="20" spans="1:33" ht="17.5" customHeight="1" x14ac:dyDescent="0.2">
      <c r="A20" s="93"/>
      <c r="B20" s="72">
        <v>45</v>
      </c>
      <c r="C20" s="13" t="s">
        <v>47</v>
      </c>
      <c r="D20" s="14" t="s">
        <v>12</v>
      </c>
      <c r="E20" s="15">
        <v>-650</v>
      </c>
      <c r="F20" s="16">
        <f>IF(E20&lt;0,ABS(E20)/(ABS(E20)+100), 100/ (E20 +100 ))</f>
        <v>0.8666666666666667</v>
      </c>
      <c r="G20" s="17">
        <f>IF(E20&gt;0, ABS(E20/100), ABS(100/E20))</f>
        <v>0.15384615384615385</v>
      </c>
      <c r="H20" s="18">
        <v>20</v>
      </c>
      <c r="I20" s="19">
        <f>IF(J20 = "Winning Bet", H20*G20+H20, IF(J20 = "Losing Bet", -H20, 0))</f>
        <v>23.076923076923077</v>
      </c>
      <c r="J20" s="20" t="s">
        <v>34</v>
      </c>
    </row>
    <row r="21" spans="1:33" ht="17.5" customHeight="1" x14ac:dyDescent="0.2">
      <c r="E21" s="2"/>
      <c r="F21" s="2"/>
    </row>
    <row r="22" spans="1:33" ht="17.5" customHeight="1" x14ac:dyDescent="0.2">
      <c r="A22" s="92">
        <v>44479</v>
      </c>
      <c r="B22" s="70">
        <v>25</v>
      </c>
      <c r="C22" s="6" t="s">
        <v>47</v>
      </c>
      <c r="D22" s="7" t="s">
        <v>13</v>
      </c>
      <c r="E22" s="8">
        <v>-435</v>
      </c>
      <c r="F22" s="9">
        <f>IF(E22&lt;0,ABS(E22)/(ABS(E22)+100), 100/ (E22 +100 ))</f>
        <v>0.81308411214953269</v>
      </c>
      <c r="G22" s="10">
        <f>IF(E22&gt;0, ABS(E22/100), ABS(100/E22))</f>
        <v>0.22988505747126436</v>
      </c>
      <c r="H22" s="8">
        <v>5</v>
      </c>
      <c r="I22" s="11">
        <f>IF(J22 = "Winning Bet", H22*G22+H22, IF(J22 = "Losing Bet", -H22, 0))</f>
        <v>6.1494252873563218</v>
      </c>
      <c r="J22" s="12" t="s">
        <v>34</v>
      </c>
    </row>
    <row r="23" spans="1:33" ht="17.5" customHeight="1" x14ac:dyDescent="0.2">
      <c r="A23" s="93"/>
      <c r="B23" s="72">
        <v>22</v>
      </c>
      <c r="C23" s="13"/>
      <c r="D23" s="14" t="s">
        <v>14</v>
      </c>
      <c r="E23" s="15" t="s">
        <v>44</v>
      </c>
      <c r="F23" s="16">
        <f>IF(E23&lt;0,ABS(E23)/(ABS(E23)+100), 100/ (E23 +100 ))</f>
        <v>0.23529411764705882</v>
      </c>
      <c r="G23" s="17">
        <f>IF(E23&gt;0, ABS(E23/100), ABS(100/E23))</f>
        <v>3.25</v>
      </c>
      <c r="H23" s="18">
        <v>0</v>
      </c>
      <c r="I23" s="19">
        <f>IF(J23 = "Winning Bet", H23*G23+H23, IF(J23 = "Losing Bet", -H23, 0))</f>
        <v>0</v>
      </c>
      <c r="J23" s="20" t="s">
        <v>35</v>
      </c>
    </row>
    <row r="24" spans="1:33" ht="17.5" customHeight="1" x14ac:dyDescent="0.2">
      <c r="E24" s="59"/>
      <c r="F24" s="2"/>
    </row>
    <row r="25" spans="1:33" ht="17.5" customHeight="1" x14ac:dyDescent="0.2">
      <c r="A25" s="92">
        <v>44479</v>
      </c>
      <c r="B25" s="70">
        <v>33</v>
      </c>
      <c r="C25" s="6" t="s">
        <v>47</v>
      </c>
      <c r="D25" s="7" t="s">
        <v>15</v>
      </c>
      <c r="E25" s="8">
        <v>-140</v>
      </c>
      <c r="F25" s="9">
        <f>IF(E25&lt;0,ABS(E25)/(ABS(E25)+100), 100/ (E25 +100 ))</f>
        <v>0.58333333333333337</v>
      </c>
      <c r="G25" s="10">
        <f>IF(E25&gt;0, ABS(E25/100), ABS(100/E25))</f>
        <v>0.7142857142857143</v>
      </c>
      <c r="H25" s="8">
        <v>5</v>
      </c>
      <c r="I25" s="11">
        <f>IF(J25 = "Winning Bet", H25*G25+H25, IF(J25 = "Losing Bet", -H25, 0))</f>
        <v>8.5714285714285712</v>
      </c>
      <c r="J25" s="12" t="s">
        <v>34</v>
      </c>
    </row>
    <row r="26" spans="1:33" ht="17.5" customHeight="1" x14ac:dyDescent="0.2">
      <c r="A26" s="93"/>
      <c r="B26" s="72">
        <v>22</v>
      </c>
      <c r="C26" s="13"/>
      <c r="D26" s="14" t="s">
        <v>16</v>
      </c>
      <c r="E26" s="15">
        <v>120</v>
      </c>
      <c r="F26" s="16">
        <f>IF(E26&lt;0,ABS(E26)/(ABS(E26)+100), 100/ (E26 +100 ))</f>
        <v>0.45454545454545453</v>
      </c>
      <c r="G26" s="17">
        <f>IF(E26&gt;0, ABS(E26/100), ABS(100/E26))</f>
        <v>1.2</v>
      </c>
      <c r="H26" s="18">
        <v>0</v>
      </c>
      <c r="I26" s="19">
        <f>IF(J26 = "Winning Bet", H26*G26+H26, IF(J26 = "Losing Bet", -H26, 0))</f>
        <v>0</v>
      </c>
      <c r="J26" s="20" t="s">
        <v>35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7.5" customHeight="1" x14ac:dyDescent="0.2">
      <c r="E27" s="59"/>
      <c r="F27" s="2"/>
    </row>
    <row r="28" spans="1:33" ht="17.5" customHeight="1" x14ac:dyDescent="0.2">
      <c r="A28" s="92">
        <v>44479</v>
      </c>
      <c r="B28" s="70">
        <v>21</v>
      </c>
      <c r="C28" s="6" t="s">
        <v>47</v>
      </c>
      <c r="D28" s="7" t="s">
        <v>40</v>
      </c>
      <c r="E28" s="8" t="s">
        <v>49</v>
      </c>
      <c r="F28" s="9">
        <f>IF(E28&lt;0,ABS(E28)/(ABS(E28)+100), 100/ (E28 +100 ))</f>
        <v>0.41666666666666669</v>
      </c>
      <c r="G28" s="10">
        <f>IF(E28&gt;0, ABS(E28/100), ABS(100/E28))</f>
        <v>1.4</v>
      </c>
      <c r="H28" s="8">
        <v>0</v>
      </c>
      <c r="I28" s="11">
        <f>IF(J28 = "Winning Bet", H28*G28+H28, IF(J28 = "Losing Bet", -H28, 0))</f>
        <v>0</v>
      </c>
      <c r="J28" s="12" t="s">
        <v>35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7.5" customHeight="1" x14ac:dyDescent="0.2">
      <c r="A29" s="93"/>
      <c r="B29" s="72">
        <v>18</v>
      </c>
      <c r="C29" s="13"/>
      <c r="D29" s="14" t="s">
        <v>17</v>
      </c>
      <c r="E29" s="15">
        <v>-165</v>
      </c>
      <c r="F29" s="16">
        <f>IF(E29&lt;0,ABS(E29)/(ABS(E29)+100), 100/ (E29 +100 ))</f>
        <v>0.62264150943396224</v>
      </c>
      <c r="G29" s="17">
        <f>IF(E29&gt;0, ABS(E29/100), ABS(100/E29))</f>
        <v>0.60606060606060608</v>
      </c>
      <c r="H29" s="18">
        <v>5</v>
      </c>
      <c r="I29" s="19">
        <f>IF(J29 = "Winning Bet", H29*G29+H29, IF(J29 = "Losing Bet", -H29, 0))</f>
        <v>-5</v>
      </c>
      <c r="J29" s="20" t="s">
        <v>36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7.5" customHeight="1" x14ac:dyDescent="0.2">
      <c r="E30" s="2"/>
      <c r="F30" s="2"/>
      <c r="K30" s="4"/>
      <c r="L30" s="4"/>
      <c r="M30" s="4"/>
    </row>
    <row r="31" spans="1:33" ht="17.5" customHeight="1" x14ac:dyDescent="0.2">
      <c r="A31" s="92">
        <v>44479</v>
      </c>
      <c r="B31" s="70">
        <v>37</v>
      </c>
      <c r="C31" s="6" t="s">
        <v>47</v>
      </c>
      <c r="D31" s="7" t="s">
        <v>18</v>
      </c>
      <c r="E31" s="8">
        <v>-200</v>
      </c>
      <c r="F31" s="9">
        <f>IF(E31&lt;0,ABS(E31)/(ABS(E31)+100), 100/ (E31 +100 ))</f>
        <v>0.66666666666666663</v>
      </c>
      <c r="G31" s="10">
        <f>IF(E31&gt;0, ABS(E31/100), ABS(100/E31))</f>
        <v>0.5</v>
      </c>
      <c r="H31" s="8">
        <v>0</v>
      </c>
      <c r="I31" s="11">
        <f>IF(J31 = "Winning Bet", H31*G31+H31, IF(J31 = "Losing Bet", -H31, 0))</f>
        <v>0</v>
      </c>
      <c r="J31" s="12" t="s">
        <v>35</v>
      </c>
      <c r="K31" s="4"/>
      <c r="L31" s="4"/>
      <c r="M31" s="4"/>
    </row>
    <row r="32" spans="1:33" ht="17.5" customHeight="1" x14ac:dyDescent="0.2">
      <c r="A32" s="93"/>
      <c r="B32" s="72">
        <v>19</v>
      </c>
      <c r="C32" s="13"/>
      <c r="D32" s="14" t="s">
        <v>19</v>
      </c>
      <c r="E32" s="15" t="s">
        <v>50</v>
      </c>
      <c r="F32" s="16">
        <f>IF(E32&lt;0,ABS(E32)/(ABS(E32)+100), 100/ (E32 +100 ))</f>
        <v>0.37037037037037035</v>
      </c>
      <c r="G32" s="17">
        <f>IF(E32&gt;0, ABS(E32/100), ABS(100/E32))</f>
        <v>1.7</v>
      </c>
      <c r="H32" s="18">
        <v>5</v>
      </c>
      <c r="I32" s="19">
        <f>IF(J32 = "Winning Bet", H32*G32+H32, IF(J32 = "Losing Bet", -H32, 0))</f>
        <v>-5</v>
      </c>
      <c r="J32" s="20" t="s">
        <v>36</v>
      </c>
      <c r="K32" s="4"/>
      <c r="L32" s="4"/>
      <c r="M32" s="4"/>
    </row>
    <row r="33" spans="1:13" ht="17.5" customHeight="1" x14ac:dyDescent="0.2">
      <c r="E33" s="59"/>
      <c r="F33" s="2"/>
    </row>
    <row r="34" spans="1:13" ht="17.5" customHeight="1" x14ac:dyDescent="0.2">
      <c r="A34" s="92">
        <v>44479</v>
      </c>
      <c r="B34" s="70">
        <v>20</v>
      </c>
      <c r="C34" s="6" t="s">
        <v>47</v>
      </c>
      <c r="D34" s="7" t="s">
        <v>20</v>
      </c>
      <c r="E34" s="8" t="s">
        <v>51</v>
      </c>
      <c r="F34" s="9">
        <f>IF(E34&lt;0,ABS(E34)/(ABS(E34)+100), 100/ (E34 +100 ))</f>
        <v>0.33333333333333331</v>
      </c>
      <c r="G34" s="10">
        <f>IF(E34&gt;0, ABS(E34/100), ABS(100/E34))</f>
        <v>2</v>
      </c>
      <c r="H34" s="8">
        <v>5</v>
      </c>
      <c r="I34" s="11">
        <f>IF(J34 = "Winning Bet", H34*G34+H34, IF(J34 = "Losing Bet", -H34, 0))</f>
        <v>15</v>
      </c>
      <c r="J34" s="12" t="s">
        <v>34</v>
      </c>
      <c r="K34" s="4"/>
      <c r="L34" s="4"/>
      <c r="M34" s="4"/>
    </row>
    <row r="35" spans="1:13" s="1" customFormat="1" ht="17.5" customHeight="1" x14ac:dyDescent="0.2">
      <c r="A35" s="93"/>
      <c r="B35" s="72">
        <v>9</v>
      </c>
      <c r="C35" s="13"/>
      <c r="D35" s="14" t="s">
        <v>21</v>
      </c>
      <c r="E35" s="15">
        <v>-240</v>
      </c>
      <c r="F35" s="16">
        <f>IF(E35&lt;0,ABS(E35)/(ABS(E35)+100), 100/ (E35 +100 ))</f>
        <v>0.70588235294117652</v>
      </c>
      <c r="G35" s="17">
        <f>IF(E35&gt;0, ABS(E35/100), ABS(100/E35))</f>
        <v>0.41666666666666669</v>
      </c>
      <c r="H35" s="18">
        <v>0</v>
      </c>
      <c r="I35" s="19">
        <f>IF(J35 = "Winning Bet", H35*G35+H35, IF(J35 = "Losing Bet", -H35, 0))</f>
        <v>0</v>
      </c>
      <c r="J35" s="20" t="s">
        <v>35</v>
      </c>
      <c r="K35" s="5"/>
      <c r="L35" s="5"/>
      <c r="M35" s="5"/>
    </row>
    <row r="36" spans="1:13" ht="17.5" customHeight="1" x14ac:dyDescent="0.2">
      <c r="E36" s="59"/>
      <c r="F36" s="2"/>
    </row>
    <row r="37" spans="1:13" ht="17.5" customHeight="1" x14ac:dyDescent="0.2">
      <c r="A37" s="92">
        <v>44479</v>
      </c>
      <c r="B37" s="70">
        <v>42</v>
      </c>
      <c r="C37" s="6"/>
      <c r="D37" s="7" t="s">
        <v>22</v>
      </c>
      <c r="E37" s="8" t="s">
        <v>52</v>
      </c>
      <c r="F37" s="9">
        <f>IF(E37&lt;0,ABS(E37)/(ABS(E37)+100), 100/ (E37 +100 ))</f>
        <v>0.46511627906976744</v>
      </c>
      <c r="G37" s="10">
        <f>IF(E37&gt;0, ABS(E37/100), ABS(100/E37))</f>
        <v>1.1499999999999999</v>
      </c>
      <c r="H37" s="8">
        <v>0</v>
      </c>
      <c r="I37" s="11">
        <f>IF(J37 = "Winning Bet", H37*G37+H37, IF(J37 = "Losing Bet", -H37, 0))</f>
        <v>0</v>
      </c>
      <c r="J37" s="12" t="s">
        <v>35</v>
      </c>
      <c r="K37" s="4"/>
      <c r="L37" s="4"/>
      <c r="M37" s="4"/>
    </row>
    <row r="38" spans="1:13" ht="17.5" customHeight="1" x14ac:dyDescent="0.2">
      <c r="A38" s="93"/>
      <c r="B38" s="72">
        <v>47</v>
      </c>
      <c r="C38" s="13" t="s">
        <v>47</v>
      </c>
      <c r="D38" s="14" t="s">
        <v>23</v>
      </c>
      <c r="E38" s="15">
        <v>-135</v>
      </c>
      <c r="F38" s="16">
        <f>IF(E38&lt;0,ABS(E38)/(ABS(E38)+100), 100/ (E38 +100 ))</f>
        <v>0.57446808510638303</v>
      </c>
      <c r="G38" s="17">
        <f>IF(E38&gt;0, ABS(E38/100), ABS(100/E38))</f>
        <v>0.7407407407407407</v>
      </c>
      <c r="H38" s="18">
        <v>5</v>
      </c>
      <c r="I38" s="19">
        <f>IF(J38 = "Winning Bet", H38*G38+H38, IF(J38 = "Losing Bet", -H38, 0))</f>
        <v>8.7037037037037024</v>
      </c>
      <c r="J38" s="20" t="s">
        <v>34</v>
      </c>
      <c r="K38" s="4"/>
      <c r="L38" s="4"/>
      <c r="M38" s="4"/>
    </row>
    <row r="39" spans="1:13" ht="17.5" customHeight="1" x14ac:dyDescent="0.2">
      <c r="E39" s="59"/>
      <c r="F39" s="2"/>
    </row>
    <row r="40" spans="1:13" ht="17.5" customHeight="1" x14ac:dyDescent="0.2">
      <c r="A40" s="92">
        <v>44479</v>
      </c>
      <c r="B40" s="70">
        <v>20</v>
      </c>
      <c r="C40" s="6"/>
      <c r="D40" s="7" t="s">
        <v>24</v>
      </c>
      <c r="E40" s="8" t="s">
        <v>53</v>
      </c>
      <c r="F40" s="9">
        <f>IF(E40&lt;0,ABS(E40)/(ABS(E40)+100), 100/ (E40 +100 ))</f>
        <v>0.27397260273972601</v>
      </c>
      <c r="G40" s="10">
        <f>IF(E40&gt;0, ABS(E40/100), ABS(100/E40))</f>
        <v>2.65</v>
      </c>
      <c r="H40" s="8">
        <v>0</v>
      </c>
      <c r="I40" s="11">
        <f>IF(J40 = "Winning Bet", H40*G40+H40, IF(J40 = "Losing Bet", -H40, 0))</f>
        <v>0</v>
      </c>
      <c r="J40" s="12" t="s">
        <v>35</v>
      </c>
      <c r="K40" s="4"/>
      <c r="L40" s="4"/>
      <c r="M40" s="4"/>
    </row>
    <row r="41" spans="1:13" ht="17.5" customHeight="1" x14ac:dyDescent="0.2">
      <c r="A41" s="93"/>
      <c r="B41" s="72">
        <v>44</v>
      </c>
      <c r="C41" s="13" t="s">
        <v>47</v>
      </c>
      <c r="D41" s="14" t="s">
        <v>25</v>
      </c>
      <c r="E41" s="15">
        <v>-330</v>
      </c>
      <c r="F41" s="16">
        <f>IF(E41&lt;0,ABS(E41)/(ABS(E41)+100), 100/ (E41 +100 ))</f>
        <v>0.76744186046511631</v>
      </c>
      <c r="G41" s="17">
        <f>IF(E41&gt;0, ABS(E41/100), ABS(100/E41))</f>
        <v>0.30303030303030304</v>
      </c>
      <c r="H41" s="18">
        <v>10</v>
      </c>
      <c r="I41" s="19">
        <f>IF(J41 = "Winning Bet", H41*G41+H41, IF(J41 = "Losing Bet", -H41, 0))</f>
        <v>13.030303030303031</v>
      </c>
      <c r="J41" s="20" t="s">
        <v>34</v>
      </c>
      <c r="K41" s="4"/>
      <c r="L41" s="4"/>
      <c r="M41" s="4"/>
    </row>
    <row r="42" spans="1:13" ht="17.5" customHeight="1" x14ac:dyDescent="0.2">
      <c r="E42" s="59"/>
      <c r="F42" s="2"/>
    </row>
    <row r="43" spans="1:13" ht="17.5" customHeight="1" x14ac:dyDescent="0.2">
      <c r="A43" s="92">
        <v>44479</v>
      </c>
      <c r="B43" s="70">
        <v>10</v>
      </c>
      <c r="C43" s="6"/>
      <c r="D43" s="7" t="s">
        <v>26</v>
      </c>
      <c r="E43" s="8" t="s">
        <v>54</v>
      </c>
      <c r="F43" s="9">
        <f>IF(E43&lt;0,ABS(E43)/(ABS(E43)+100), 100/ (E43 +100 ))</f>
        <v>0.35714285714285715</v>
      </c>
      <c r="G43" s="10">
        <f>IF(E43&gt;0, ABS(E43/100), ABS(100/E43))</f>
        <v>1.8</v>
      </c>
      <c r="H43" s="8">
        <v>0</v>
      </c>
      <c r="I43" s="11">
        <f>IF(J43 = "Winning Bet", H43*G43+H43, IF(J43 = "Losing Bet", -H43, 0))</f>
        <v>0</v>
      </c>
      <c r="J43" s="12" t="s">
        <v>35</v>
      </c>
      <c r="K43" s="4"/>
      <c r="L43" s="4"/>
      <c r="M43" s="4"/>
    </row>
    <row r="44" spans="1:13" ht="17.5" customHeight="1" x14ac:dyDescent="0.2">
      <c r="A44" s="93"/>
      <c r="B44" s="72">
        <v>17</v>
      </c>
      <c r="C44" s="13" t="s">
        <v>47</v>
      </c>
      <c r="D44" s="14" t="s">
        <v>27</v>
      </c>
      <c r="E44" s="15">
        <v>-220</v>
      </c>
      <c r="F44" s="16">
        <f>IF(E44&lt;0,ABS(E44)/(ABS(E44)+100), 100/ (E44 +100 ))</f>
        <v>0.6875</v>
      </c>
      <c r="G44" s="17">
        <f>IF(E44&gt;0, ABS(E44/100), ABS(100/E44))</f>
        <v>0.45454545454545453</v>
      </c>
      <c r="H44" s="18">
        <v>5</v>
      </c>
      <c r="I44" s="19">
        <f>IF(J44 = "Winning Bet", H44*G44+H44, IF(J44 = "Losing Bet", -H44, 0))</f>
        <v>7.2727272727272725</v>
      </c>
      <c r="J44" s="20" t="s">
        <v>34</v>
      </c>
      <c r="K44" s="4"/>
      <c r="L44" s="4"/>
      <c r="M44" s="4"/>
    </row>
    <row r="45" spans="1:13" ht="17.5" customHeight="1" x14ac:dyDescent="0.2">
      <c r="E45" s="59"/>
      <c r="F45" s="2"/>
    </row>
    <row r="46" spans="1:13" ht="17.5" customHeight="1" x14ac:dyDescent="0.2">
      <c r="A46" s="92">
        <v>44479</v>
      </c>
      <c r="B46" s="70"/>
      <c r="C46" s="6" t="s">
        <v>47</v>
      </c>
      <c r="D46" s="7" t="s">
        <v>28</v>
      </c>
      <c r="E46" s="8" t="s">
        <v>42</v>
      </c>
      <c r="F46" s="9">
        <f>IF(E46&lt;0,ABS(E46)/(ABS(E46)+100), 100/ (E46 +100 ))</f>
        <v>0.44444444444444442</v>
      </c>
      <c r="G46" s="10">
        <f>IF(E46&gt;0, ABS(E46/100), ABS(100/E46))</f>
        <v>1.25</v>
      </c>
      <c r="H46" s="8">
        <v>5</v>
      </c>
      <c r="I46" s="11">
        <f>IF(J46 = "Winning Bet", H46*G46+H46, IF(J46 = "Losing Bet", -H46, 0))</f>
        <v>-5</v>
      </c>
      <c r="J46" s="12" t="s">
        <v>36</v>
      </c>
      <c r="K46" s="4"/>
      <c r="L46" s="4"/>
      <c r="M46" s="4"/>
    </row>
    <row r="47" spans="1:13" ht="17.5" customHeight="1" x14ac:dyDescent="0.2">
      <c r="A47" s="93"/>
      <c r="B47" s="72"/>
      <c r="C47" s="13"/>
      <c r="D47" s="14" t="s">
        <v>29</v>
      </c>
      <c r="E47" s="15">
        <v>-145</v>
      </c>
      <c r="F47" s="16">
        <f>IF(E47&lt;0,ABS(E47)/(ABS(E47)+100), 100/ (E47 +100 ))</f>
        <v>0.59183673469387754</v>
      </c>
      <c r="G47" s="17">
        <f>IF(E47&gt;0, ABS(E47/100), ABS(100/E47))</f>
        <v>0.68965517241379315</v>
      </c>
      <c r="H47" s="18">
        <v>0</v>
      </c>
      <c r="I47" s="19">
        <f>IF(J47 = "Winning Bet", H47*G47+H47, IF(J47 = "Losing Bet", -H47, 0))</f>
        <v>0</v>
      </c>
      <c r="J47" s="20" t="s">
        <v>35</v>
      </c>
      <c r="K47" s="4"/>
      <c r="L47" s="4"/>
      <c r="M47" s="4"/>
    </row>
    <row r="48" spans="1:13" ht="17.5" customHeight="1" x14ac:dyDescent="0.2">
      <c r="E48" s="59"/>
      <c r="F48" s="2"/>
    </row>
    <row r="49" spans="1:13" ht="17.5" customHeight="1" x14ac:dyDescent="0.2">
      <c r="A49" s="92">
        <v>44480</v>
      </c>
      <c r="B49" s="70"/>
      <c r="C49" s="6"/>
      <c r="D49" s="7" t="s">
        <v>30</v>
      </c>
      <c r="E49" s="8" t="s">
        <v>55</v>
      </c>
      <c r="F49" s="9">
        <f>IF(E49&lt;0,ABS(E49)/(ABS(E49)+100), 100/ (E49 +100 ))</f>
        <v>0.27777777777777779</v>
      </c>
      <c r="G49" s="10">
        <f>IF(E49&gt;0, ABS(E49/100), ABS(100/E49))</f>
        <v>2.6</v>
      </c>
      <c r="H49" s="8">
        <v>10</v>
      </c>
      <c r="I49" s="11">
        <f>IF(J49 = "Winning Bet", H49*G49+H49, IF(J49 = "Losing Bet", -H49, 0))</f>
        <v>36</v>
      </c>
      <c r="J49" s="12" t="s">
        <v>34</v>
      </c>
      <c r="K49" s="4"/>
      <c r="L49" s="4"/>
      <c r="M49" s="4"/>
    </row>
    <row r="50" spans="1:13" ht="17.5" customHeight="1" x14ac:dyDescent="0.2">
      <c r="A50" s="93"/>
      <c r="B50" s="72"/>
      <c r="C50" s="13" t="s">
        <v>47</v>
      </c>
      <c r="D50" s="14" t="s">
        <v>31</v>
      </c>
      <c r="E50" s="15">
        <v>-320</v>
      </c>
      <c r="F50" s="16">
        <f>IF(E50&lt;0,ABS(E50)/(ABS(E50)+100), 100/ (E50 +100 ))</f>
        <v>0.76190476190476186</v>
      </c>
      <c r="G50" s="17">
        <f>IF(E50&gt;0, ABS(E50/100), ABS(100/E50))</f>
        <v>0.3125</v>
      </c>
      <c r="H50" s="18">
        <v>0</v>
      </c>
      <c r="I50" s="19">
        <f>IF(J50 = "Winning Bet", H50*G50+H50, IF(J50 = "Losing Bet", -H50, 0))</f>
        <v>0</v>
      </c>
      <c r="J50" s="20" t="s">
        <v>35</v>
      </c>
      <c r="K50" s="4"/>
      <c r="L50" s="4"/>
      <c r="M50" s="4"/>
    </row>
    <row r="51" spans="1:13" ht="17.5" customHeight="1" x14ac:dyDescent="0.2">
      <c r="A51" s="4"/>
      <c r="B51" s="7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7.5" customHeight="1" x14ac:dyDescent="0.2">
      <c r="A52" s="4"/>
      <c r="B52" s="74"/>
      <c r="C52" s="4"/>
      <c r="D52" s="4"/>
      <c r="E52" s="4"/>
      <c r="F52" s="4"/>
      <c r="G52" s="4"/>
      <c r="H52"/>
    </row>
    <row r="53" spans="1:13" ht="17.5" customHeight="1" x14ac:dyDescent="0.2">
      <c r="A53" s="4"/>
      <c r="B53" s="74"/>
      <c r="C53" s="4"/>
      <c r="D53" s="4"/>
      <c r="E53" s="4"/>
      <c r="F53"/>
      <c r="G53"/>
      <c r="H53"/>
    </row>
    <row r="54" spans="1:13" ht="17.5" customHeight="1" x14ac:dyDescent="0.2">
      <c r="A54" s="4"/>
      <c r="B54" s="74"/>
      <c r="C54" s="4"/>
      <c r="D54" s="94" t="s">
        <v>59</v>
      </c>
      <c r="E54" s="95"/>
      <c r="F54"/>
      <c r="G54"/>
      <c r="H54"/>
    </row>
    <row r="55" spans="1:13" ht="17.5" customHeight="1" x14ac:dyDescent="0.2">
      <c r="D55" s="61" t="s">
        <v>56</v>
      </c>
      <c r="E55" s="65">
        <f>SUM(I3:I50)</f>
        <v>108.05717051691006</v>
      </c>
      <c r="F55"/>
      <c r="G55"/>
      <c r="H55"/>
    </row>
    <row r="56" spans="1:13" ht="17.5" customHeight="1" x14ac:dyDescent="0.2">
      <c r="D56" s="60" t="s">
        <v>57</v>
      </c>
      <c r="E56" s="66">
        <f>SUM(H4:H50)</f>
        <v>110</v>
      </c>
      <c r="F56"/>
      <c r="G56"/>
      <c r="H56"/>
    </row>
    <row r="57" spans="1:13" ht="17.5" customHeight="1" x14ac:dyDescent="0.2">
      <c r="D57" s="62" t="s">
        <v>37</v>
      </c>
      <c r="E57" s="67">
        <f>E55-E56</f>
        <v>-1.9428294830899375</v>
      </c>
      <c r="F57"/>
      <c r="G57"/>
      <c r="H57"/>
    </row>
    <row r="58" spans="1:13" ht="17.5" customHeight="1" x14ac:dyDescent="0.2">
      <c r="D58" s="63" t="s">
        <v>38</v>
      </c>
      <c r="E58" s="64">
        <f>(E55-E56)/E56</f>
        <v>-1.7662086209908522E-2</v>
      </c>
      <c r="F58"/>
      <c r="G58"/>
      <c r="H58"/>
    </row>
    <row r="59" spans="1:13" ht="17.5" customHeight="1" x14ac:dyDescent="0.2">
      <c r="D59" s="4"/>
      <c r="E59" s="4"/>
      <c r="F59"/>
      <c r="G59"/>
      <c r="H59"/>
    </row>
    <row r="60" spans="1:13" ht="17.5" customHeight="1" x14ac:dyDescent="0.2">
      <c r="A60" s="4"/>
      <c r="B60" s="74"/>
      <c r="E60"/>
      <c r="F60"/>
      <c r="G60"/>
      <c r="H60"/>
    </row>
    <row r="61" spans="1:13" ht="17.5" customHeight="1" x14ac:dyDescent="0.2">
      <c r="A61" s="4"/>
      <c r="B61" s="74"/>
      <c r="E61"/>
      <c r="F61"/>
      <c r="G61"/>
      <c r="H61"/>
    </row>
    <row r="62" spans="1:13" ht="17.5" customHeight="1" x14ac:dyDescent="0.2">
      <c r="A62" s="4"/>
      <c r="B62" s="74"/>
      <c r="E62"/>
      <c r="F62"/>
      <c r="G62"/>
      <c r="H62"/>
    </row>
    <row r="63" spans="1:13" ht="17.5" customHeight="1" x14ac:dyDescent="0.2">
      <c r="A63" s="4"/>
      <c r="B63" s="74"/>
      <c r="E63"/>
      <c r="F63"/>
      <c r="G63"/>
      <c r="H63"/>
    </row>
    <row r="64" spans="1:13" ht="17.5" customHeight="1" x14ac:dyDescent="0.2">
      <c r="A64" s="4"/>
      <c r="B64" s="74"/>
      <c r="E64"/>
      <c r="F64"/>
      <c r="G64"/>
      <c r="H64"/>
    </row>
    <row r="65" spans="1:33" ht="17.5" customHeight="1" x14ac:dyDescent="0.2">
      <c r="A65" s="4"/>
      <c r="B65" s="74"/>
      <c r="E65"/>
      <c r="F65"/>
      <c r="G65"/>
      <c r="H65"/>
    </row>
    <row r="66" spans="1:33" ht="17.5" customHeight="1" x14ac:dyDescent="0.2">
      <c r="A66" s="4"/>
      <c r="B66" s="74"/>
      <c r="E66"/>
      <c r="F66"/>
      <c r="G66"/>
      <c r="H66"/>
    </row>
    <row r="67" spans="1:33" ht="17.5" customHeight="1" x14ac:dyDescent="0.2">
      <c r="A67" s="4"/>
      <c r="B67" s="74"/>
      <c r="E67"/>
      <c r="F67"/>
      <c r="G67"/>
      <c r="H67"/>
    </row>
    <row r="68" spans="1:33" ht="17.5" customHeight="1" x14ac:dyDescent="0.2">
      <c r="A68" s="4"/>
      <c r="B68" s="74"/>
      <c r="E68"/>
      <c r="F68"/>
      <c r="G68"/>
      <c r="H68"/>
    </row>
    <row r="69" spans="1:33" ht="17.5" customHeight="1" x14ac:dyDescent="0.2">
      <c r="A69" s="4"/>
      <c r="B69" s="74"/>
      <c r="E69"/>
      <c r="F69"/>
      <c r="G69"/>
      <c r="H69"/>
    </row>
    <row r="70" spans="1:33" ht="17.5" customHeight="1" x14ac:dyDescent="0.2">
      <c r="A70" s="4"/>
      <c r="B70" s="74"/>
      <c r="E70"/>
      <c r="F70"/>
      <c r="G70"/>
      <c r="H70"/>
    </row>
    <row r="71" spans="1:33" ht="17.5" customHeight="1" x14ac:dyDescent="0.2">
      <c r="A71" s="4"/>
      <c r="B71" s="74"/>
      <c r="E71"/>
      <c r="F71"/>
      <c r="G71"/>
      <c r="H71"/>
    </row>
    <row r="72" spans="1:33" ht="17.5" customHeight="1" x14ac:dyDescent="0.2">
      <c r="A72" s="4"/>
      <c r="B72" s="74"/>
      <c r="C72" s="4"/>
      <c r="D72" s="4"/>
      <c r="E72"/>
      <c r="F72"/>
      <c r="G72"/>
      <c r="H72"/>
    </row>
    <row r="73" spans="1:33" ht="17.5" customHeight="1" x14ac:dyDescent="0.2">
      <c r="A73" s="4"/>
      <c r="B73" s="74"/>
      <c r="C73" s="4"/>
      <c r="D73" s="4"/>
      <c r="E73"/>
      <c r="F73"/>
      <c r="G73"/>
      <c r="H73"/>
    </row>
    <row r="74" spans="1:33" ht="17.5" customHeight="1" x14ac:dyDescent="0.2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</sheetData>
  <mergeCells count="18">
    <mergeCell ref="A37:A38"/>
    <mergeCell ref="A40:A41"/>
    <mergeCell ref="A43:A44"/>
    <mergeCell ref="A46:A47"/>
    <mergeCell ref="D54:E54"/>
    <mergeCell ref="A1:J1"/>
    <mergeCell ref="A4:A5"/>
    <mergeCell ref="A7:A8"/>
    <mergeCell ref="A10:A11"/>
    <mergeCell ref="A13:A14"/>
    <mergeCell ref="A16:A17"/>
    <mergeCell ref="A19:A20"/>
    <mergeCell ref="A22:A23"/>
    <mergeCell ref="A25:A26"/>
    <mergeCell ref="A28:A29"/>
    <mergeCell ref="A31:A32"/>
    <mergeCell ref="A49:A50"/>
    <mergeCell ref="A34:A35"/>
  </mergeCells>
  <conditionalFormatting sqref="I5:I6 I9 I12 I15 I30">
    <cfRule type="cellIs" dxfId="119" priority="97" operator="lessThan">
      <formula>0</formula>
    </cfRule>
    <cfRule type="cellIs" dxfId="118" priority="98" operator="greaterThan">
      <formula>0</formula>
    </cfRule>
  </conditionalFormatting>
  <conditionalFormatting sqref="I7:I8">
    <cfRule type="cellIs" dxfId="117" priority="95" operator="lessThan">
      <formula>0</formula>
    </cfRule>
    <cfRule type="cellIs" dxfId="116" priority="96" operator="greaterThan">
      <formula>0</formula>
    </cfRule>
  </conditionalFormatting>
  <conditionalFormatting sqref="I10:I11">
    <cfRule type="cellIs" dxfId="115" priority="93" operator="lessThan">
      <formula>0</formula>
    </cfRule>
    <cfRule type="cellIs" dxfId="114" priority="94" operator="greaterThan">
      <formula>0</formula>
    </cfRule>
  </conditionalFormatting>
  <conditionalFormatting sqref="I13:I14">
    <cfRule type="cellIs" dxfId="113" priority="91" operator="lessThan">
      <formula>0</formula>
    </cfRule>
    <cfRule type="cellIs" dxfId="112" priority="92" operator="greaterThan">
      <formula>0</formula>
    </cfRule>
  </conditionalFormatting>
  <conditionalFormatting sqref="I16:I17">
    <cfRule type="cellIs" dxfId="111" priority="45" operator="lessThan">
      <formula>0</formula>
    </cfRule>
    <cfRule type="cellIs" dxfId="110" priority="46" operator="greaterThan">
      <formula>0</formula>
    </cfRule>
  </conditionalFormatting>
  <conditionalFormatting sqref="I21">
    <cfRule type="cellIs" dxfId="109" priority="49" operator="lessThan">
      <formula>0</formula>
    </cfRule>
    <cfRule type="cellIs" dxfId="108" priority="50" operator="greaterThan">
      <formula>0</formula>
    </cfRule>
  </conditionalFormatting>
  <conditionalFormatting sqref="I22:I23">
    <cfRule type="cellIs" dxfId="107" priority="41" operator="lessThan">
      <formula>0</formula>
    </cfRule>
    <cfRule type="cellIs" dxfId="106" priority="42" operator="greaterThan">
      <formula>0</formula>
    </cfRule>
  </conditionalFormatting>
  <conditionalFormatting sqref="I18">
    <cfRule type="cellIs" dxfId="105" priority="47" operator="lessThan">
      <formula>0</formula>
    </cfRule>
    <cfRule type="cellIs" dxfId="104" priority="48" operator="greaterThan">
      <formula>0</formula>
    </cfRule>
  </conditionalFormatting>
  <conditionalFormatting sqref="I33">
    <cfRule type="cellIs" dxfId="103" priority="31" operator="lessThan">
      <formula>0</formula>
    </cfRule>
    <cfRule type="cellIs" dxfId="102" priority="32" operator="greaterThan">
      <formula>0</formula>
    </cfRule>
  </conditionalFormatting>
  <conditionalFormatting sqref="I48">
    <cfRule type="cellIs" dxfId="101" priority="3" operator="lessThan">
      <formula>0</formula>
    </cfRule>
    <cfRule type="cellIs" dxfId="100" priority="4" operator="greaterThan">
      <formula>0</formula>
    </cfRule>
  </conditionalFormatting>
  <conditionalFormatting sqref="I19:I20">
    <cfRule type="cellIs" dxfId="99" priority="43" operator="lessThan">
      <formula>0</formula>
    </cfRule>
    <cfRule type="cellIs" dxfId="98" priority="44" operator="greaterThan">
      <formula>0</formula>
    </cfRule>
  </conditionalFormatting>
  <conditionalFormatting sqref="I25:I26">
    <cfRule type="cellIs" dxfId="97" priority="39" operator="lessThan">
      <formula>0</formula>
    </cfRule>
    <cfRule type="cellIs" dxfId="96" priority="40" operator="greaterThan">
      <formula>0</formula>
    </cfRule>
  </conditionalFormatting>
  <conditionalFormatting sqref="I28:I29">
    <cfRule type="cellIs" dxfId="95" priority="37" operator="lessThan">
      <formula>0</formula>
    </cfRule>
    <cfRule type="cellIs" dxfId="94" priority="38" operator="greaterThan">
      <formula>0</formula>
    </cfRule>
  </conditionalFormatting>
  <conditionalFormatting sqref="I24">
    <cfRule type="cellIs" dxfId="93" priority="35" operator="lessThan">
      <formula>0</formula>
    </cfRule>
    <cfRule type="cellIs" dxfId="92" priority="36" operator="greaterThan">
      <formula>0</formula>
    </cfRule>
  </conditionalFormatting>
  <conditionalFormatting sqref="I27">
    <cfRule type="cellIs" dxfId="91" priority="33" operator="lessThan">
      <formula>0</formula>
    </cfRule>
    <cfRule type="cellIs" dxfId="90" priority="34" operator="greaterThan">
      <formula>0</formula>
    </cfRule>
  </conditionalFormatting>
  <conditionalFormatting sqref="I45">
    <cfRule type="cellIs" dxfId="89" priority="5" operator="lessThan">
      <formula>0</formula>
    </cfRule>
    <cfRule type="cellIs" dxfId="88" priority="6" operator="greaterThan">
      <formula>0</formula>
    </cfRule>
  </conditionalFormatting>
  <conditionalFormatting sqref="I31:I32">
    <cfRule type="cellIs" dxfId="87" priority="27" operator="lessThan">
      <formula>0</formula>
    </cfRule>
    <cfRule type="cellIs" dxfId="86" priority="28" operator="greaterThan">
      <formula>0</formula>
    </cfRule>
  </conditionalFormatting>
  <conditionalFormatting sqref="I34:I35">
    <cfRule type="cellIs" dxfId="85" priority="23" operator="lessThan">
      <formula>0</formula>
    </cfRule>
    <cfRule type="cellIs" dxfId="84" priority="24" operator="greaterThan">
      <formula>0</formula>
    </cfRule>
  </conditionalFormatting>
  <conditionalFormatting sqref="I37:I38">
    <cfRule type="cellIs" dxfId="83" priority="21" operator="lessThan">
      <formula>0</formula>
    </cfRule>
    <cfRule type="cellIs" dxfId="82" priority="22" operator="greaterThan">
      <formula>0</formula>
    </cfRule>
  </conditionalFormatting>
  <conditionalFormatting sqref="I40:I41">
    <cfRule type="cellIs" dxfId="81" priority="19" operator="lessThan">
      <formula>0</formula>
    </cfRule>
    <cfRule type="cellIs" dxfId="80" priority="20" operator="greaterThan">
      <formula>0</formula>
    </cfRule>
  </conditionalFormatting>
  <conditionalFormatting sqref="I43:I44">
    <cfRule type="cellIs" dxfId="79" priority="17" operator="lessThan">
      <formula>0</formula>
    </cfRule>
    <cfRule type="cellIs" dxfId="78" priority="18" operator="greaterThan">
      <formula>0</formula>
    </cfRule>
  </conditionalFormatting>
  <conditionalFormatting sqref="I46:I47">
    <cfRule type="cellIs" dxfId="77" priority="15" operator="lessThan">
      <formula>0</formula>
    </cfRule>
    <cfRule type="cellIs" dxfId="76" priority="16" operator="greaterThan">
      <formula>0</formula>
    </cfRule>
  </conditionalFormatting>
  <conditionalFormatting sqref="I49:I50">
    <cfRule type="cellIs" dxfId="75" priority="13" operator="lessThan">
      <formula>0</formula>
    </cfRule>
    <cfRule type="cellIs" dxfId="74" priority="14" operator="greaterThan">
      <formula>0</formula>
    </cfRule>
  </conditionalFormatting>
  <conditionalFormatting sqref="I36">
    <cfRule type="cellIs" dxfId="73" priority="11" operator="lessThan">
      <formula>0</formula>
    </cfRule>
    <cfRule type="cellIs" dxfId="72" priority="12" operator="greaterThan">
      <formula>0</formula>
    </cfRule>
  </conditionalFormatting>
  <conditionalFormatting sqref="I39">
    <cfRule type="cellIs" dxfId="71" priority="9" operator="lessThan">
      <formula>0</formula>
    </cfRule>
    <cfRule type="cellIs" dxfId="70" priority="10" operator="greaterThan">
      <formula>0</formula>
    </cfRule>
  </conditionalFormatting>
  <conditionalFormatting sqref="I42">
    <cfRule type="cellIs" dxfId="69" priority="7" operator="lessThan">
      <formula>0</formula>
    </cfRule>
    <cfRule type="cellIs" dxfId="68" priority="8" operator="greaterThan">
      <formula>0</formula>
    </cfRule>
  </conditionalFormatting>
  <conditionalFormatting sqref="I4">
    <cfRule type="cellIs" dxfId="67" priority="1" operator="lessThan">
      <formula>0</formula>
    </cfRule>
    <cfRule type="cellIs" dxfId="66" priority="2" operator="greaterThan">
      <formula>0</formula>
    </cfRule>
  </conditionalFormatting>
  <dataValidations count="1">
    <dataValidation type="list" allowBlank="1" showInputMessage="1" showErrorMessage="1" sqref="J49:J50 J7:J8 J10:J11 J13:J14 J16:J17 J19:J20 J22:J23 J25:J26 J28:J29 J31:J35 J37:J38 J40:J41 J43:J44 J46:J47 J4:J5" xr:uid="{61CC1E39-54AA-4F28-8A7B-FE62A984FD52}">
      <formula1>"Winning Bet, Losing Bet, No Bet"</formula1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1C03-2905-4121-B0F8-9DDE340EB2FF}">
  <dimension ref="A4:P94"/>
  <sheetViews>
    <sheetView topLeftCell="A3" zoomScale="116" zoomScaleNormal="55" workbookViewId="0">
      <selection activeCell="B6" sqref="B6:D10"/>
    </sheetView>
  </sheetViews>
  <sheetFormatPr baseColWidth="10" defaultColWidth="8.83203125" defaultRowHeight="15" x14ac:dyDescent="0.2"/>
  <cols>
    <col min="1" max="1" width="18.6640625" customWidth="1"/>
    <col min="2" max="2" width="40.6640625" customWidth="1"/>
    <col min="3" max="3" width="0" hidden="1" customWidth="1"/>
    <col min="4" max="6" width="18.6640625" bestFit="1" customWidth="1"/>
    <col min="7" max="7" width="20.83203125" bestFit="1" customWidth="1"/>
    <col min="8" max="16" width="18.6640625" bestFit="1" customWidth="1"/>
    <col min="17" max="21" width="17.6640625" customWidth="1"/>
  </cols>
  <sheetData>
    <row r="4" spans="1:9" ht="16" thickBot="1" x14ac:dyDescent="0.25">
      <c r="B4" s="77">
        <v>1</v>
      </c>
      <c r="C4" s="77"/>
      <c r="D4" s="77">
        <v>2</v>
      </c>
      <c r="E4" s="77">
        <v>3</v>
      </c>
      <c r="F4" s="77">
        <v>4</v>
      </c>
      <c r="G4" s="77">
        <v>5</v>
      </c>
      <c r="H4" s="77">
        <v>6</v>
      </c>
      <c r="I4" s="77">
        <v>7</v>
      </c>
    </row>
    <row r="5" spans="1:9" ht="16" thickBot="1" x14ac:dyDescent="0.25">
      <c r="B5" s="76" t="s">
        <v>39</v>
      </c>
      <c r="C5" s="75" t="s">
        <v>1</v>
      </c>
      <c r="D5" s="23" t="s">
        <v>2</v>
      </c>
      <c r="E5" s="23" t="s">
        <v>46</v>
      </c>
      <c r="F5" s="23" t="s">
        <v>32</v>
      </c>
      <c r="G5" s="23" t="s">
        <v>58</v>
      </c>
      <c r="H5" s="23" t="s">
        <v>45</v>
      </c>
      <c r="I5" s="24" t="s">
        <v>33</v>
      </c>
    </row>
    <row r="6" spans="1:9" x14ac:dyDescent="0.2">
      <c r="B6" s="100" t="s">
        <v>86</v>
      </c>
      <c r="C6" s="101"/>
      <c r="D6" s="102">
        <v>-220</v>
      </c>
      <c r="E6" s="9">
        <f>IF(D6&lt;0,ABS(D6)/(ABS(D6)+100), 100/ (D6 +100 ))</f>
        <v>0.6875</v>
      </c>
      <c r="F6" s="10">
        <f>IF(D6&gt;0, ABS(D6/100), ABS(100/D6))</f>
        <v>0.45454545454545453</v>
      </c>
      <c r="G6" s="8">
        <v>2</v>
      </c>
      <c r="H6" s="11">
        <f>IF(I6 = "Winning Bet", G6*F6+G6, IF(I6 = "Losing Bet", -G6, 0))</f>
        <v>2.9090909090909092</v>
      </c>
      <c r="I6" s="12" t="s">
        <v>34</v>
      </c>
    </row>
    <row r="7" spans="1:9" x14ac:dyDescent="0.2">
      <c r="A7" t="s">
        <v>78</v>
      </c>
      <c r="B7" s="103" t="s">
        <v>85</v>
      </c>
      <c r="C7" s="104"/>
      <c r="D7" s="105">
        <v>180</v>
      </c>
      <c r="E7" s="9">
        <f>IF(D7&lt;0,ABS(D7)/(ABS(D7)+100), 100/ (D7 +100 ))</f>
        <v>0.35714285714285715</v>
      </c>
      <c r="F7" s="10">
        <f>IF(D7&gt;0, ABS(D7/100), ABS(100/D7))</f>
        <v>1.8</v>
      </c>
      <c r="G7" s="18">
        <v>2</v>
      </c>
      <c r="H7" s="19">
        <f>G7*(D7/100)+G7</f>
        <v>5.6</v>
      </c>
      <c r="I7" s="20" t="s">
        <v>34</v>
      </c>
    </row>
    <row r="8" spans="1:9" x14ac:dyDescent="0.2">
      <c r="B8" s="106"/>
      <c r="C8" s="106"/>
      <c r="D8" s="106"/>
    </row>
    <row r="9" spans="1:9" x14ac:dyDescent="0.2">
      <c r="A9" t="s">
        <v>78</v>
      </c>
      <c r="B9" s="100" t="s">
        <v>80</v>
      </c>
      <c r="C9" s="101"/>
      <c r="D9" s="102">
        <v>265</v>
      </c>
      <c r="E9" s="9">
        <f>IF(D9&lt;0,ABS(D9)/(ABS(D9)+100), 100/ (D9 +100 ))</f>
        <v>0.27397260273972601</v>
      </c>
      <c r="F9" s="10">
        <f>IF(D9&gt;0, ABS(D9/100), ABS(100/D9))</f>
        <v>2.65</v>
      </c>
      <c r="G9" s="8">
        <v>2</v>
      </c>
      <c r="H9" s="11">
        <f>G9*(D9/100)+G9</f>
        <v>7.3</v>
      </c>
      <c r="I9" s="12" t="s">
        <v>34</v>
      </c>
    </row>
    <row r="10" spans="1:9" x14ac:dyDescent="0.2">
      <c r="B10" s="103" t="s">
        <v>81</v>
      </c>
      <c r="C10" s="104"/>
      <c r="D10" s="105">
        <v>-330</v>
      </c>
      <c r="E10" s="9">
        <f>IF(D10&lt;0,ABS(D10)/(ABS(D10)+100), 100/ (D10 +100 ))</f>
        <v>0.76744186046511631</v>
      </c>
      <c r="F10" s="10">
        <f>IF(D10&gt;0, ABS(D10/100), ABS(100/D10))</f>
        <v>0.30303030303030304</v>
      </c>
      <c r="G10" s="18">
        <v>2</v>
      </c>
      <c r="H10" s="19">
        <f>IF(I10 = "Winning Bet", G10*F10+G10, IF(I10 = "Losing Bet", -G10, 0))</f>
        <v>2.606060606060606</v>
      </c>
      <c r="I10" s="20" t="s">
        <v>34</v>
      </c>
    </row>
    <row r="14" spans="1:9" x14ac:dyDescent="0.2">
      <c r="B14" s="107" t="s">
        <v>84</v>
      </c>
      <c r="C14" s="108"/>
      <c r="D14" s="108"/>
      <c r="E14" s="109"/>
      <c r="G14">
        <f>G10+G9+G7+G6</f>
        <v>8</v>
      </c>
    </row>
    <row r="15" spans="1:9" x14ac:dyDescent="0.2">
      <c r="B15" s="48"/>
      <c r="C15" s="4"/>
      <c r="D15" s="4" t="str">
        <f>B9</f>
        <v>76ers</v>
      </c>
      <c r="E15" s="49" t="str">
        <f>B10</f>
        <v>celtics</v>
      </c>
    </row>
    <row r="16" spans="1:9" x14ac:dyDescent="0.2">
      <c r="B16" s="48" t="str">
        <f>B6</f>
        <v>warriors</v>
      </c>
      <c r="C16" s="4"/>
      <c r="D16" s="110">
        <f>E6*E9</f>
        <v>0.18835616438356162</v>
      </c>
      <c r="E16" s="111">
        <f>E10*E6</f>
        <v>0.52761627906976749</v>
      </c>
    </row>
    <row r="17" spans="2:8" x14ac:dyDescent="0.2">
      <c r="B17" s="34" t="str">
        <f>B7</f>
        <v>lakers</v>
      </c>
      <c r="C17" s="3"/>
      <c r="D17" s="112">
        <f>E7*E9</f>
        <v>9.7847358121330719E-2</v>
      </c>
      <c r="E17" s="113">
        <f>E7*E10</f>
        <v>0.27408637873754155</v>
      </c>
    </row>
    <row r="20" spans="2:8" x14ac:dyDescent="0.2">
      <c r="B20" s="90" t="s">
        <v>75</v>
      </c>
      <c r="C20" s="99"/>
      <c r="D20" s="99"/>
      <c r="E20" s="91"/>
    </row>
    <row r="21" spans="2:8" x14ac:dyDescent="0.2">
      <c r="B21" s="48"/>
      <c r="C21" s="4"/>
      <c r="D21" s="4"/>
      <c r="E21" s="49"/>
      <c r="G21" s="114"/>
      <c r="H21" s="87"/>
    </row>
    <row r="22" spans="2:8" x14ac:dyDescent="0.2">
      <c r="B22" s="48"/>
      <c r="C22" s="4"/>
      <c r="D22" s="4" t="str">
        <f>B9</f>
        <v>76ers</v>
      </c>
      <c r="E22" s="49" t="str">
        <f>B10</f>
        <v>celtics</v>
      </c>
      <c r="G22" s="88"/>
    </row>
    <row r="23" spans="2:8" x14ac:dyDescent="0.2">
      <c r="B23" s="48" t="str">
        <f>B6</f>
        <v>warriors</v>
      </c>
      <c r="C23" s="4"/>
      <c r="D23" s="54">
        <f>IF(TRUE, G6*F6+G6, -G6) + IF(TRUE, G9*F9+G9, -G9 )</f>
        <v>10.209090909090909</v>
      </c>
      <c r="E23" s="55">
        <f>IF(TRUE, G6*F6+G6, -G6) + IF(TRUE, G10*F10+G10, -G10 )</f>
        <v>5.5151515151515156</v>
      </c>
    </row>
    <row r="24" spans="2:8" x14ac:dyDescent="0.2">
      <c r="B24" s="34" t="str">
        <f>B7</f>
        <v>lakers</v>
      </c>
      <c r="C24" s="3"/>
      <c r="D24" s="56">
        <f>IF(TRUE, G7*F7+G7, -G7) + IF(TRUE, G9*F9+G9, -G9 )</f>
        <v>12.899999999999999</v>
      </c>
      <c r="E24" s="57">
        <f>IF(TRUE, G7*F7+G7, -G7) + IF(TRUE, G10*F10+G10, -G10 )</f>
        <v>8.2060606060606052</v>
      </c>
    </row>
    <row r="27" spans="2:8" x14ac:dyDescent="0.2">
      <c r="B27" s="90" t="s">
        <v>77</v>
      </c>
      <c r="C27" s="99"/>
      <c r="D27" s="99"/>
      <c r="E27" s="91"/>
    </row>
    <row r="28" spans="2:8" x14ac:dyDescent="0.2">
      <c r="B28" s="48" t="s">
        <v>76</v>
      </c>
      <c r="C28" s="4"/>
      <c r="D28" s="4"/>
      <c r="E28" s="49"/>
    </row>
    <row r="29" spans="2:8" x14ac:dyDescent="0.2">
      <c r="B29" s="48"/>
      <c r="C29" s="4"/>
      <c r="D29" s="4" t="str">
        <f>B9</f>
        <v>76ers</v>
      </c>
      <c r="E29" s="49" t="str">
        <f>B10</f>
        <v>celtics</v>
      </c>
    </row>
    <row r="30" spans="2:8" x14ac:dyDescent="0.2">
      <c r="B30" s="48" t="str">
        <f>B6</f>
        <v>warriors</v>
      </c>
      <c r="C30" s="4"/>
      <c r="D30" s="50">
        <f>(H9+H6)-(G7+G10)</f>
        <v>6.209090909090909</v>
      </c>
      <c r="E30" s="51">
        <f>(H10+H6)-(G7+G9)</f>
        <v>1.5151515151515156</v>
      </c>
    </row>
    <row r="31" spans="2:8" x14ac:dyDescent="0.2">
      <c r="B31" s="34" t="str">
        <f>B7</f>
        <v>lakers</v>
      </c>
      <c r="C31" s="3"/>
      <c r="D31" s="52">
        <f>(H9+H7)-(G6+G10)</f>
        <v>8.8999999999999986</v>
      </c>
      <c r="E31" s="53">
        <f>(H10+H7)-(G6+G9)</f>
        <v>4.2060606060606052</v>
      </c>
    </row>
    <row r="35" spans="1:16" ht="16" thickBot="1" x14ac:dyDescent="0.25">
      <c r="A35" s="37"/>
      <c r="B35" s="97" t="str">
        <f>B7</f>
        <v>lakers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</row>
    <row r="36" spans="1:16" x14ac:dyDescent="0.2">
      <c r="A36" s="37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 spans="1:16" x14ac:dyDescent="0.2">
      <c r="A37" s="37"/>
      <c r="B37" s="36"/>
      <c r="C37" s="36"/>
      <c r="D37" s="36"/>
      <c r="E37" s="36"/>
      <c r="F37" s="37"/>
      <c r="G37" s="37"/>
      <c r="H37" s="37" t="str">
        <f>B7</f>
        <v>lakers</v>
      </c>
      <c r="I37" s="37"/>
      <c r="J37" s="37"/>
      <c r="K37" s="37"/>
      <c r="L37" s="37"/>
      <c r="M37" s="37"/>
      <c r="N37" s="37"/>
      <c r="O37" s="37"/>
      <c r="P37" s="37"/>
    </row>
    <row r="38" spans="1:16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1:16" s="1" customFormat="1" x14ac:dyDescent="0.2">
      <c r="A39" s="37"/>
      <c r="B39" s="69">
        <f>E31</f>
        <v>4.2060606060606052</v>
      </c>
      <c r="C39" s="37"/>
      <c r="D39" s="37">
        <v>1</v>
      </c>
      <c r="E39" s="37">
        <v>2</v>
      </c>
      <c r="F39" s="37">
        <v>3</v>
      </c>
      <c r="G39" s="37">
        <v>4</v>
      </c>
      <c r="H39" s="37">
        <v>5</v>
      </c>
      <c r="I39" s="37">
        <v>6</v>
      </c>
      <c r="J39" s="37">
        <v>7</v>
      </c>
      <c r="K39" s="37">
        <v>8</v>
      </c>
      <c r="L39" s="37">
        <v>9</v>
      </c>
      <c r="M39" s="37">
        <v>10</v>
      </c>
      <c r="N39" s="37">
        <v>11</v>
      </c>
      <c r="O39" s="37">
        <v>12</v>
      </c>
      <c r="P39" s="37">
        <v>13</v>
      </c>
    </row>
    <row r="40" spans="1:16" x14ac:dyDescent="0.2">
      <c r="A40" s="37"/>
      <c r="B40" s="37">
        <v>1</v>
      </c>
      <c r="C40" s="37">
        <f t="dataTable" ref="C40:P52" dt2D="1" dtr="1" r1="G7" r2="G9" ca="1"/>
        <v>-0.39393939393939403</v>
      </c>
      <c r="D40" s="44">
        <v>2.4060606060606062</v>
      </c>
      <c r="E40" s="38">
        <v>5.2060606060606052</v>
      </c>
      <c r="F40" s="38">
        <v>8.0060606060606059</v>
      </c>
      <c r="G40" s="38">
        <v>10.806060606060605</v>
      </c>
      <c r="H40" s="38">
        <v>13.606060606060606</v>
      </c>
      <c r="I40" s="38">
        <v>16.406060606060606</v>
      </c>
      <c r="J40" s="38">
        <v>19.206060606060607</v>
      </c>
      <c r="K40" s="38">
        <v>22.006060606060604</v>
      </c>
      <c r="L40" s="38">
        <v>24.806060606060605</v>
      </c>
      <c r="M40" s="38">
        <v>27.606060606060606</v>
      </c>
      <c r="N40" s="38">
        <v>30.406060606060606</v>
      </c>
      <c r="O40" s="38">
        <v>33.20606060606061</v>
      </c>
      <c r="P40" s="12">
        <v>36.006060606060615</v>
      </c>
    </row>
    <row r="41" spans="1:16" x14ac:dyDescent="0.2">
      <c r="A41" s="37"/>
      <c r="B41" s="37">
        <v>2</v>
      </c>
      <c r="C41" s="37">
        <v>-1.393939393939394</v>
      </c>
      <c r="D41" s="45">
        <v>1.4060606060606062</v>
      </c>
      <c r="E41" s="39">
        <v>4.2060606060606052</v>
      </c>
      <c r="F41" s="39">
        <v>7.0060606060606059</v>
      </c>
      <c r="G41" s="39">
        <v>9.8060606060606048</v>
      </c>
      <c r="H41" s="39">
        <v>12.606060606060606</v>
      </c>
      <c r="I41" s="39">
        <v>15.406060606060606</v>
      </c>
      <c r="J41" s="39">
        <v>18.206060606060607</v>
      </c>
      <c r="K41" s="39">
        <v>21.006060606060604</v>
      </c>
      <c r="L41" s="39">
        <v>23.806060606060605</v>
      </c>
      <c r="M41" s="39">
        <v>26.606060606060606</v>
      </c>
      <c r="N41" s="39">
        <v>29.406060606060606</v>
      </c>
      <c r="O41" s="39">
        <v>32.20606060606061</v>
      </c>
      <c r="P41" s="46">
        <v>35.006060606060615</v>
      </c>
    </row>
    <row r="42" spans="1:16" x14ac:dyDescent="0.2">
      <c r="A42" s="37"/>
      <c r="B42" s="37">
        <v>3</v>
      </c>
      <c r="C42" s="37">
        <v>-2.393939393939394</v>
      </c>
      <c r="D42" s="45">
        <v>0.40606060606060623</v>
      </c>
      <c r="E42" s="39">
        <v>3.2060606060606052</v>
      </c>
      <c r="F42" s="39">
        <v>6.0060606060606059</v>
      </c>
      <c r="G42" s="39">
        <v>8.8060606060606048</v>
      </c>
      <c r="H42" s="39">
        <v>11.606060606060606</v>
      </c>
      <c r="I42" s="39">
        <v>14.406060606060606</v>
      </c>
      <c r="J42" s="39">
        <v>17.206060606060607</v>
      </c>
      <c r="K42" s="39">
        <v>20.006060606060604</v>
      </c>
      <c r="L42" s="39">
        <v>22.806060606060605</v>
      </c>
      <c r="M42" s="39">
        <v>25.606060606060606</v>
      </c>
      <c r="N42" s="39">
        <v>28.406060606060606</v>
      </c>
      <c r="O42" s="39">
        <v>31.20606060606061</v>
      </c>
      <c r="P42" s="46">
        <v>34.006060606060615</v>
      </c>
    </row>
    <row r="43" spans="1:16" x14ac:dyDescent="0.2">
      <c r="A43" s="37"/>
      <c r="B43" s="37">
        <v>4</v>
      </c>
      <c r="C43" s="37">
        <v>-3.393939393939394</v>
      </c>
      <c r="D43" s="45">
        <v>-0.59393939393939377</v>
      </c>
      <c r="E43" s="39">
        <v>2.2060606060606052</v>
      </c>
      <c r="F43" s="39">
        <v>5.0060606060606059</v>
      </c>
      <c r="G43" s="39">
        <v>7.8060606060606048</v>
      </c>
      <c r="H43" s="39">
        <v>10.606060606060606</v>
      </c>
      <c r="I43" s="39">
        <v>13.406060606060606</v>
      </c>
      <c r="J43" s="39">
        <v>16.206060606060607</v>
      </c>
      <c r="K43" s="39">
        <v>19.006060606060604</v>
      </c>
      <c r="L43" s="39">
        <v>21.806060606060605</v>
      </c>
      <c r="M43" s="39">
        <v>24.606060606060606</v>
      </c>
      <c r="N43" s="39">
        <v>27.406060606060606</v>
      </c>
      <c r="O43" s="39">
        <v>30.20606060606061</v>
      </c>
      <c r="P43" s="46">
        <v>33.006060606060615</v>
      </c>
    </row>
    <row r="44" spans="1:16" x14ac:dyDescent="0.2">
      <c r="A44" s="37"/>
      <c r="B44" s="37">
        <v>5</v>
      </c>
      <c r="C44" s="37">
        <v>-4.3939393939393945</v>
      </c>
      <c r="D44" s="45">
        <v>-1.5939393939393938</v>
      </c>
      <c r="E44" s="39">
        <v>1.2060606060606052</v>
      </c>
      <c r="F44" s="39">
        <v>4.0060606060606059</v>
      </c>
      <c r="G44" s="39">
        <v>6.8060606060606048</v>
      </c>
      <c r="H44" s="39">
        <v>9.6060606060606055</v>
      </c>
      <c r="I44" s="39">
        <v>12.406060606060606</v>
      </c>
      <c r="J44" s="39">
        <v>15.206060606060607</v>
      </c>
      <c r="K44" s="39">
        <v>18.006060606060604</v>
      </c>
      <c r="L44" s="39">
        <v>20.806060606060605</v>
      </c>
      <c r="M44" s="39">
        <v>23.606060606060606</v>
      </c>
      <c r="N44" s="39">
        <v>26.406060606060606</v>
      </c>
      <c r="O44" s="39">
        <v>29.20606060606061</v>
      </c>
      <c r="P44" s="46">
        <v>32.006060606060615</v>
      </c>
    </row>
    <row r="45" spans="1:16" x14ac:dyDescent="0.2">
      <c r="A45" s="37"/>
      <c r="B45" s="37">
        <v>6</v>
      </c>
      <c r="C45" s="37">
        <v>-5.3939393939393945</v>
      </c>
      <c r="D45" s="45">
        <v>-2.5939393939393938</v>
      </c>
      <c r="E45" s="39">
        <v>0.20606060606060517</v>
      </c>
      <c r="F45" s="39">
        <v>3.0060606060606059</v>
      </c>
      <c r="G45" s="39">
        <v>5.8060606060606048</v>
      </c>
      <c r="H45" s="39">
        <v>8.6060606060606055</v>
      </c>
      <c r="I45" s="39">
        <v>11.406060606060606</v>
      </c>
      <c r="J45" s="39">
        <v>14.206060606060607</v>
      </c>
      <c r="K45" s="39">
        <v>17.006060606060604</v>
      </c>
      <c r="L45" s="39">
        <v>19.806060606060605</v>
      </c>
      <c r="M45" s="39">
        <v>22.606060606060606</v>
      </c>
      <c r="N45" s="39">
        <v>25.406060606060606</v>
      </c>
      <c r="O45" s="39">
        <v>28.20606060606061</v>
      </c>
      <c r="P45" s="46">
        <v>31.006060606060615</v>
      </c>
    </row>
    <row r="46" spans="1:16" x14ac:dyDescent="0.2">
      <c r="A46" s="37" t="str">
        <f>B9</f>
        <v>76ers</v>
      </c>
      <c r="B46" s="37">
        <v>7</v>
      </c>
      <c r="C46" s="37">
        <v>-6.3939393939393945</v>
      </c>
      <c r="D46" s="45">
        <v>-3.5939393939393938</v>
      </c>
      <c r="E46" s="39">
        <v>-0.79393939393939483</v>
      </c>
      <c r="F46" s="39">
        <v>2.0060606060606059</v>
      </c>
      <c r="G46" s="39">
        <v>4.8060606060606048</v>
      </c>
      <c r="H46" s="39">
        <v>7.6060606060606055</v>
      </c>
      <c r="I46" s="39">
        <v>10.406060606060606</v>
      </c>
      <c r="J46" s="39">
        <v>13.206060606060607</v>
      </c>
      <c r="K46" s="39">
        <v>16.006060606060604</v>
      </c>
      <c r="L46" s="39">
        <v>18.806060606060605</v>
      </c>
      <c r="M46" s="39">
        <v>21.606060606060606</v>
      </c>
      <c r="N46" s="39">
        <v>24.406060606060606</v>
      </c>
      <c r="O46" s="39">
        <v>27.20606060606061</v>
      </c>
      <c r="P46" s="46">
        <v>30.006060606060615</v>
      </c>
    </row>
    <row r="47" spans="1:16" x14ac:dyDescent="0.2">
      <c r="A47" s="37"/>
      <c r="B47" s="37">
        <v>8</v>
      </c>
      <c r="C47" s="37">
        <v>-7.3939393939393945</v>
      </c>
      <c r="D47" s="45">
        <v>-4.5939393939393938</v>
      </c>
      <c r="E47" s="39">
        <v>-1.7939393939393948</v>
      </c>
      <c r="F47" s="39">
        <v>1.0060606060606059</v>
      </c>
      <c r="G47" s="39">
        <v>3.8060606060606048</v>
      </c>
      <c r="H47" s="39">
        <v>6.6060606060606055</v>
      </c>
      <c r="I47" s="39">
        <v>9.4060606060606062</v>
      </c>
      <c r="J47" s="39">
        <v>12.206060606060607</v>
      </c>
      <c r="K47" s="39">
        <v>15.006060606060604</v>
      </c>
      <c r="L47" s="39">
        <v>17.806060606060605</v>
      </c>
      <c r="M47" s="39">
        <v>20.606060606060606</v>
      </c>
      <c r="N47" s="39">
        <v>23.406060606060606</v>
      </c>
      <c r="O47" s="39">
        <v>26.20606060606061</v>
      </c>
      <c r="P47" s="46">
        <v>29.006060606060615</v>
      </c>
    </row>
    <row r="48" spans="1:16" x14ac:dyDescent="0.2">
      <c r="A48" s="37"/>
      <c r="B48" s="37">
        <v>9</v>
      </c>
      <c r="C48" s="37">
        <v>-8.3939393939393945</v>
      </c>
      <c r="D48" s="45">
        <v>-5.5939393939393938</v>
      </c>
      <c r="E48" s="39">
        <v>-2.7939393939393948</v>
      </c>
      <c r="F48" s="39">
        <v>6.0606060606058776E-3</v>
      </c>
      <c r="G48" s="39">
        <v>2.8060606060606048</v>
      </c>
      <c r="H48" s="39">
        <v>5.6060606060606055</v>
      </c>
      <c r="I48" s="39">
        <v>8.4060606060606062</v>
      </c>
      <c r="J48" s="39">
        <v>11.206060606060607</v>
      </c>
      <c r="K48" s="39">
        <v>14.006060606060604</v>
      </c>
      <c r="L48" s="39">
        <v>16.806060606060605</v>
      </c>
      <c r="M48" s="39">
        <v>19.606060606060606</v>
      </c>
      <c r="N48" s="39">
        <v>22.406060606060606</v>
      </c>
      <c r="O48" s="39">
        <v>25.20606060606061</v>
      </c>
      <c r="P48" s="46">
        <v>28.006060606060615</v>
      </c>
    </row>
    <row r="49" spans="1:16" x14ac:dyDescent="0.2">
      <c r="A49" s="37"/>
      <c r="B49" s="37">
        <v>10</v>
      </c>
      <c r="C49" s="37">
        <v>-9.3939393939393945</v>
      </c>
      <c r="D49" s="45">
        <v>-6.5939393939393938</v>
      </c>
      <c r="E49" s="39">
        <v>-3.7939393939393948</v>
      </c>
      <c r="F49" s="39">
        <v>-0.99393939393939412</v>
      </c>
      <c r="G49" s="39">
        <v>1.8060606060606048</v>
      </c>
      <c r="H49" s="39">
        <v>4.6060606060606055</v>
      </c>
      <c r="I49" s="39">
        <v>7.4060606060606062</v>
      </c>
      <c r="J49" s="39">
        <v>10.206060606060607</v>
      </c>
      <c r="K49" s="39">
        <v>13.006060606060604</v>
      </c>
      <c r="L49" s="39">
        <v>15.806060606060605</v>
      </c>
      <c r="M49" s="39">
        <v>18.606060606060606</v>
      </c>
      <c r="N49" s="39">
        <v>21.406060606060606</v>
      </c>
      <c r="O49" s="39">
        <v>24.20606060606061</v>
      </c>
      <c r="P49" s="46">
        <v>27.006060606060615</v>
      </c>
    </row>
    <row r="50" spans="1:16" x14ac:dyDescent="0.2">
      <c r="A50" s="37"/>
      <c r="B50" s="37">
        <v>11</v>
      </c>
      <c r="C50" s="37">
        <v>-10.393939393939394</v>
      </c>
      <c r="D50" s="45">
        <v>-7.5939393939393938</v>
      </c>
      <c r="E50" s="39">
        <v>-4.7939393939393948</v>
      </c>
      <c r="F50" s="39">
        <v>-1.9939393939393941</v>
      </c>
      <c r="G50" s="39">
        <v>0.80606060606060481</v>
      </c>
      <c r="H50" s="39">
        <v>3.6060606060606055</v>
      </c>
      <c r="I50" s="39">
        <v>6.4060606060606062</v>
      </c>
      <c r="J50" s="39">
        <v>9.2060606060606069</v>
      </c>
      <c r="K50" s="39">
        <v>12.006060606060604</v>
      </c>
      <c r="L50" s="39">
        <v>14.806060606060605</v>
      </c>
      <c r="M50" s="39">
        <v>17.606060606060606</v>
      </c>
      <c r="N50" s="39">
        <v>20.406060606060606</v>
      </c>
      <c r="O50" s="39">
        <v>23.20606060606061</v>
      </c>
      <c r="P50" s="46">
        <v>26.006060606060615</v>
      </c>
    </row>
    <row r="51" spans="1:16" x14ac:dyDescent="0.2">
      <c r="A51" s="37"/>
      <c r="B51" s="37">
        <v>12</v>
      </c>
      <c r="C51" s="37">
        <v>-11.393939393939394</v>
      </c>
      <c r="D51" s="45">
        <v>-8.5939393939393938</v>
      </c>
      <c r="E51" s="39">
        <v>-5.7939393939393948</v>
      </c>
      <c r="F51" s="39">
        <v>-2.9939393939393941</v>
      </c>
      <c r="G51" s="39">
        <v>-0.19393939393939519</v>
      </c>
      <c r="H51" s="39">
        <v>2.6060606060606055</v>
      </c>
      <c r="I51" s="39">
        <v>5.4060606060606062</v>
      </c>
      <c r="J51" s="39">
        <v>8.2060606060606069</v>
      </c>
      <c r="K51" s="39">
        <v>11.006060606060604</v>
      </c>
      <c r="L51" s="39">
        <v>13.806060606060605</v>
      </c>
      <c r="M51" s="39">
        <v>16.606060606060606</v>
      </c>
      <c r="N51" s="39">
        <v>19.406060606060606</v>
      </c>
      <c r="O51" s="39">
        <v>22.20606060606061</v>
      </c>
      <c r="P51" s="46">
        <v>25.006060606060615</v>
      </c>
    </row>
    <row r="52" spans="1:16" x14ac:dyDescent="0.2">
      <c r="A52" s="37"/>
      <c r="B52" s="37">
        <v>13</v>
      </c>
      <c r="C52" s="37">
        <v>-12.393939393939394</v>
      </c>
      <c r="D52" s="47">
        <v>-9.5939393939393938</v>
      </c>
      <c r="E52" s="40">
        <v>-6.7939393939393948</v>
      </c>
      <c r="F52" s="40">
        <v>-3.9939393939393941</v>
      </c>
      <c r="G52" s="40">
        <v>-1.1939393939393952</v>
      </c>
      <c r="H52" s="40">
        <v>1.6060606060606055</v>
      </c>
      <c r="I52" s="40">
        <v>4.4060606060606062</v>
      </c>
      <c r="J52" s="40">
        <v>7.2060606060606069</v>
      </c>
      <c r="K52" s="40">
        <v>10.006060606060604</v>
      </c>
      <c r="L52" s="40">
        <v>12.806060606060605</v>
      </c>
      <c r="M52" s="40">
        <v>15.606060606060606</v>
      </c>
      <c r="N52" s="40">
        <v>18.406060606060606</v>
      </c>
      <c r="O52" s="40">
        <v>21.20606060606061</v>
      </c>
      <c r="P52" s="20">
        <v>24.006060606060615</v>
      </c>
    </row>
    <row r="53" spans="1:16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</row>
    <row r="54" spans="1: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6" thickBot="1" x14ac:dyDescent="0.25">
      <c r="A56" s="37"/>
      <c r="B56" s="97" t="str">
        <f>B9</f>
        <v>76ers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</row>
    <row r="57" spans="1:16" x14ac:dyDescent="0.2">
      <c r="A57" s="37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x14ac:dyDescent="0.2">
      <c r="A58" s="98"/>
      <c r="B58" s="98"/>
      <c r="C58" s="41"/>
      <c r="D58" s="41"/>
      <c r="E58" s="41"/>
      <c r="F58" s="41"/>
      <c r="G58" s="41"/>
      <c r="H58" s="43" t="str">
        <f>B7</f>
        <v>lakers</v>
      </c>
      <c r="I58" s="41"/>
      <c r="J58" s="41"/>
      <c r="K58" s="41"/>
      <c r="L58" s="41"/>
      <c r="M58" s="41"/>
      <c r="N58" s="41"/>
      <c r="O58" s="41"/>
      <c r="P58" s="41"/>
    </row>
    <row r="59" spans="1:16" x14ac:dyDescent="0.2">
      <c r="A59" s="60"/>
      <c r="B59" s="68"/>
      <c r="C59" s="36"/>
      <c r="D59" s="36"/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16" x14ac:dyDescent="0.2">
      <c r="A60" s="60"/>
      <c r="B60" s="69">
        <f>D30</f>
        <v>6.209090909090909</v>
      </c>
      <c r="C60" s="37"/>
      <c r="D60" s="37">
        <v>1</v>
      </c>
      <c r="E60" s="37">
        <v>2</v>
      </c>
      <c r="F60" s="37">
        <v>3</v>
      </c>
      <c r="G60" s="37">
        <v>4</v>
      </c>
      <c r="H60" s="37">
        <v>5</v>
      </c>
      <c r="I60" s="37">
        <v>6</v>
      </c>
      <c r="J60" s="37">
        <v>7</v>
      </c>
      <c r="K60" s="37">
        <v>8</v>
      </c>
      <c r="L60" s="37">
        <v>9</v>
      </c>
      <c r="M60" s="37">
        <v>10</v>
      </c>
      <c r="N60" s="37">
        <v>11</v>
      </c>
      <c r="O60" s="37">
        <v>12</v>
      </c>
      <c r="P60" s="37">
        <v>13</v>
      </c>
    </row>
    <row r="61" spans="1:16" x14ac:dyDescent="0.2">
      <c r="A61" s="60"/>
      <c r="B61" s="37">
        <v>1</v>
      </c>
      <c r="C61" s="37">
        <f t="dataTable" ref="C61:P73" dt2D="1" dtr="1" r1="G7" r2="G9"/>
        <v>4.5590909090909086</v>
      </c>
      <c r="D61" s="44">
        <v>3.5590909090909086</v>
      </c>
      <c r="E61" s="38">
        <v>2.5590909090909086</v>
      </c>
      <c r="F61" s="38">
        <v>1.5590909090909086</v>
      </c>
      <c r="G61" s="38">
        <v>0.55909090909090864</v>
      </c>
      <c r="H61" s="38">
        <v>-0.44090909090909136</v>
      </c>
      <c r="I61" s="38">
        <v>-1.4409090909090914</v>
      </c>
      <c r="J61" s="38">
        <v>-2.4409090909090914</v>
      </c>
      <c r="K61" s="38">
        <v>-3.4409090909090914</v>
      </c>
      <c r="L61" s="38">
        <v>-4.4409090909090914</v>
      </c>
      <c r="M61" s="38">
        <v>-5.4409090909090914</v>
      </c>
      <c r="N61" s="38">
        <v>-6.4409090909090914</v>
      </c>
      <c r="O61" s="38">
        <v>-7.4409090909090914</v>
      </c>
      <c r="P61" s="12">
        <v>-8.4409090909090914</v>
      </c>
    </row>
    <row r="62" spans="1:16" x14ac:dyDescent="0.2">
      <c r="A62" s="60"/>
      <c r="B62" s="37">
        <v>2</v>
      </c>
      <c r="C62" s="37">
        <v>8.209090909090909</v>
      </c>
      <c r="D62" s="45">
        <v>7.209090909090909</v>
      </c>
      <c r="E62" s="39">
        <v>6.209090909090909</v>
      </c>
      <c r="F62" s="39">
        <v>5.209090909090909</v>
      </c>
      <c r="G62" s="39">
        <v>4.209090909090909</v>
      </c>
      <c r="H62" s="39">
        <v>3.209090909090909</v>
      </c>
      <c r="I62" s="39">
        <v>2.209090909090909</v>
      </c>
      <c r="J62" s="39">
        <v>1.209090909090909</v>
      </c>
      <c r="K62" s="39">
        <v>0.20909090909090899</v>
      </c>
      <c r="L62" s="39">
        <v>-0.79090909090909101</v>
      </c>
      <c r="M62" s="39">
        <v>-1.790909090909091</v>
      </c>
      <c r="N62" s="39">
        <v>-2.790909090909091</v>
      </c>
      <c r="O62" s="39">
        <v>-3.790909090909091</v>
      </c>
      <c r="P62" s="46">
        <v>-4.790909090909091</v>
      </c>
    </row>
    <row r="63" spans="1:16" x14ac:dyDescent="0.2">
      <c r="A63" s="60"/>
      <c r="B63" s="37">
        <v>3</v>
      </c>
      <c r="C63" s="37">
        <v>11.859090909090909</v>
      </c>
      <c r="D63" s="45">
        <v>10.859090909090909</v>
      </c>
      <c r="E63" s="39">
        <v>9.8590909090909093</v>
      </c>
      <c r="F63" s="39">
        <v>8.8590909090909093</v>
      </c>
      <c r="G63" s="39">
        <v>7.8590909090909093</v>
      </c>
      <c r="H63" s="39">
        <v>6.8590909090909093</v>
      </c>
      <c r="I63" s="39">
        <v>5.8590909090909093</v>
      </c>
      <c r="J63" s="39">
        <v>4.8590909090909093</v>
      </c>
      <c r="K63" s="39">
        <v>3.8590909090909093</v>
      </c>
      <c r="L63" s="39">
        <v>2.8590909090909093</v>
      </c>
      <c r="M63" s="39">
        <v>1.8590909090909093</v>
      </c>
      <c r="N63" s="39">
        <v>0.85909090909090935</v>
      </c>
      <c r="O63" s="39">
        <v>-0.14090909090909065</v>
      </c>
      <c r="P63" s="46">
        <v>-1.1409090909090907</v>
      </c>
    </row>
    <row r="64" spans="1:16" x14ac:dyDescent="0.2">
      <c r="A64" s="60"/>
      <c r="B64" s="37">
        <v>4</v>
      </c>
      <c r="C64" s="37">
        <v>15.509090909090908</v>
      </c>
      <c r="D64" s="45">
        <v>14.509090909090908</v>
      </c>
      <c r="E64" s="39">
        <v>13.509090909090908</v>
      </c>
      <c r="F64" s="39">
        <v>12.509090909090908</v>
      </c>
      <c r="G64" s="39">
        <v>11.509090909090908</v>
      </c>
      <c r="H64" s="39">
        <v>10.509090909090908</v>
      </c>
      <c r="I64" s="39">
        <v>9.5090909090909079</v>
      </c>
      <c r="J64" s="39">
        <v>8.5090909090909079</v>
      </c>
      <c r="K64" s="39">
        <v>7.5090909090909079</v>
      </c>
      <c r="L64" s="39">
        <v>6.5090909090909079</v>
      </c>
      <c r="M64" s="39">
        <v>5.5090909090909079</v>
      </c>
      <c r="N64" s="39">
        <v>4.5090909090909079</v>
      </c>
      <c r="O64" s="39">
        <v>3.5090909090909079</v>
      </c>
      <c r="P64" s="46">
        <v>2.5090909090909079</v>
      </c>
    </row>
    <row r="65" spans="1:16" x14ac:dyDescent="0.2">
      <c r="A65" s="37"/>
      <c r="B65" s="37">
        <v>5</v>
      </c>
      <c r="C65" s="37">
        <v>19.15909090909091</v>
      </c>
      <c r="D65" s="45">
        <v>18.15909090909091</v>
      </c>
      <c r="E65" s="39">
        <v>17.15909090909091</v>
      </c>
      <c r="F65" s="39">
        <v>16.15909090909091</v>
      </c>
      <c r="G65" s="39">
        <v>15.15909090909091</v>
      </c>
      <c r="H65" s="39">
        <v>14.15909090909091</v>
      </c>
      <c r="I65" s="39">
        <v>13.15909090909091</v>
      </c>
      <c r="J65" s="39">
        <v>12.15909090909091</v>
      </c>
      <c r="K65" s="39">
        <v>11.15909090909091</v>
      </c>
      <c r="L65" s="39">
        <v>10.15909090909091</v>
      </c>
      <c r="M65" s="39">
        <v>9.1590909090909101</v>
      </c>
      <c r="N65" s="39">
        <v>8.1590909090909101</v>
      </c>
      <c r="O65" s="39">
        <v>7.1590909090909101</v>
      </c>
      <c r="P65" s="46">
        <v>6.1590909090909101</v>
      </c>
    </row>
    <row r="66" spans="1:16" x14ac:dyDescent="0.2">
      <c r="A66" s="37"/>
      <c r="B66" s="37">
        <v>6</v>
      </c>
      <c r="C66" s="37">
        <v>22.809090909090909</v>
      </c>
      <c r="D66" s="45">
        <v>21.809090909090909</v>
      </c>
      <c r="E66" s="39">
        <v>20.809090909090909</v>
      </c>
      <c r="F66" s="39">
        <v>19.809090909090909</v>
      </c>
      <c r="G66" s="39">
        <v>18.809090909090909</v>
      </c>
      <c r="H66" s="39">
        <v>17.809090909090909</v>
      </c>
      <c r="I66" s="39">
        <v>16.809090909090909</v>
      </c>
      <c r="J66" s="39">
        <v>15.809090909090909</v>
      </c>
      <c r="K66" s="39">
        <v>14.809090909090909</v>
      </c>
      <c r="L66" s="39">
        <v>13.809090909090909</v>
      </c>
      <c r="M66" s="39">
        <v>12.809090909090909</v>
      </c>
      <c r="N66" s="39">
        <v>11.809090909090909</v>
      </c>
      <c r="O66" s="39">
        <v>10.809090909090909</v>
      </c>
      <c r="P66" s="46">
        <v>9.8090909090909086</v>
      </c>
    </row>
    <row r="67" spans="1:16" x14ac:dyDescent="0.2">
      <c r="A67" s="37" t="str">
        <f>B9</f>
        <v>76ers</v>
      </c>
      <c r="B67" s="37">
        <v>7</v>
      </c>
      <c r="C67" s="37">
        <v>26.459090909090911</v>
      </c>
      <c r="D67" s="45">
        <v>25.459090909090911</v>
      </c>
      <c r="E67" s="39">
        <v>24.459090909090911</v>
      </c>
      <c r="F67" s="39">
        <v>23.459090909090911</v>
      </c>
      <c r="G67" s="39">
        <v>22.459090909090911</v>
      </c>
      <c r="H67" s="39">
        <v>21.459090909090911</v>
      </c>
      <c r="I67" s="39">
        <v>20.459090909090911</v>
      </c>
      <c r="J67" s="39">
        <v>19.459090909090911</v>
      </c>
      <c r="K67" s="39">
        <v>18.459090909090911</v>
      </c>
      <c r="L67" s="39">
        <v>17.459090909090911</v>
      </c>
      <c r="M67" s="39">
        <v>16.459090909090911</v>
      </c>
      <c r="N67" s="39">
        <v>15.459090909090911</v>
      </c>
      <c r="O67" s="39">
        <v>14.459090909090911</v>
      </c>
      <c r="P67" s="46">
        <v>13.459090909090911</v>
      </c>
    </row>
    <row r="68" spans="1:16" x14ac:dyDescent="0.2">
      <c r="A68" s="37"/>
      <c r="B68" s="37">
        <v>8</v>
      </c>
      <c r="C68" s="37">
        <v>30.109090909090909</v>
      </c>
      <c r="D68" s="45">
        <v>29.109090909090909</v>
      </c>
      <c r="E68" s="39">
        <v>28.109090909090909</v>
      </c>
      <c r="F68" s="39">
        <v>27.109090909090909</v>
      </c>
      <c r="G68" s="39">
        <v>26.109090909090909</v>
      </c>
      <c r="H68" s="39">
        <v>25.109090909090909</v>
      </c>
      <c r="I68" s="39">
        <v>24.109090909090909</v>
      </c>
      <c r="J68" s="39">
        <v>23.109090909090909</v>
      </c>
      <c r="K68" s="39">
        <v>22.109090909090909</v>
      </c>
      <c r="L68" s="39">
        <v>21.109090909090909</v>
      </c>
      <c r="M68" s="39">
        <v>20.109090909090909</v>
      </c>
      <c r="N68" s="39">
        <v>19.109090909090909</v>
      </c>
      <c r="O68" s="39">
        <v>18.109090909090909</v>
      </c>
      <c r="P68" s="46">
        <v>17.109090909090909</v>
      </c>
    </row>
    <row r="69" spans="1:16" x14ac:dyDescent="0.2">
      <c r="A69" s="37"/>
      <c r="B69" s="37">
        <v>9</v>
      </c>
      <c r="C69" s="37">
        <v>33.759090909090901</v>
      </c>
      <c r="D69" s="45">
        <v>32.759090909090901</v>
      </c>
      <c r="E69" s="39">
        <v>31.759090909090901</v>
      </c>
      <c r="F69" s="39">
        <v>30.759090909090901</v>
      </c>
      <c r="G69" s="39">
        <v>29.759090909090901</v>
      </c>
      <c r="H69" s="39">
        <v>28.759090909090901</v>
      </c>
      <c r="I69" s="39">
        <v>27.759090909090901</v>
      </c>
      <c r="J69" s="39">
        <v>26.759090909090901</v>
      </c>
      <c r="K69" s="39">
        <v>25.759090909090901</v>
      </c>
      <c r="L69" s="39">
        <v>24.759090909090901</v>
      </c>
      <c r="M69" s="39">
        <v>23.759090909090901</v>
      </c>
      <c r="N69" s="39">
        <v>22.759090909090901</v>
      </c>
      <c r="O69" s="39">
        <v>21.759090909090901</v>
      </c>
      <c r="P69" s="46">
        <v>20.759090909090901</v>
      </c>
    </row>
    <row r="70" spans="1:16" x14ac:dyDescent="0.2">
      <c r="A70" s="37"/>
      <c r="B70" s="37">
        <v>10</v>
      </c>
      <c r="C70" s="37">
        <v>37.409090909090907</v>
      </c>
      <c r="D70" s="45">
        <v>36.409090909090907</v>
      </c>
      <c r="E70" s="39">
        <v>35.409090909090907</v>
      </c>
      <c r="F70" s="39">
        <v>34.409090909090907</v>
      </c>
      <c r="G70" s="39">
        <v>33.409090909090907</v>
      </c>
      <c r="H70" s="39">
        <v>32.409090909090907</v>
      </c>
      <c r="I70" s="39">
        <v>31.409090909090907</v>
      </c>
      <c r="J70" s="39">
        <v>30.409090909090907</v>
      </c>
      <c r="K70" s="39">
        <v>29.409090909090907</v>
      </c>
      <c r="L70" s="39">
        <v>28.409090909090907</v>
      </c>
      <c r="M70" s="39">
        <v>27.409090909090907</v>
      </c>
      <c r="N70" s="39">
        <v>26.409090909090907</v>
      </c>
      <c r="O70" s="39">
        <v>25.409090909090907</v>
      </c>
      <c r="P70" s="46">
        <v>24.409090909090907</v>
      </c>
    </row>
    <row r="71" spans="1:16" x14ac:dyDescent="0.2">
      <c r="A71" s="37"/>
      <c r="B71" s="37">
        <v>11</v>
      </c>
      <c r="C71" s="37">
        <v>41.059090909090905</v>
      </c>
      <c r="D71" s="45">
        <v>40.059090909090905</v>
      </c>
      <c r="E71" s="39">
        <v>39.059090909090905</v>
      </c>
      <c r="F71" s="39">
        <v>38.059090909090905</v>
      </c>
      <c r="G71" s="39">
        <v>37.059090909090905</v>
      </c>
      <c r="H71" s="39">
        <v>36.059090909090905</v>
      </c>
      <c r="I71" s="39">
        <v>35.059090909090905</v>
      </c>
      <c r="J71" s="39">
        <v>34.059090909090905</v>
      </c>
      <c r="K71" s="39">
        <v>33.059090909090905</v>
      </c>
      <c r="L71" s="39">
        <v>32.059090909090905</v>
      </c>
      <c r="M71" s="39">
        <v>31.059090909090905</v>
      </c>
      <c r="N71" s="39">
        <v>30.059090909090905</v>
      </c>
      <c r="O71" s="39">
        <v>29.059090909090905</v>
      </c>
      <c r="P71" s="46">
        <v>28.059090909090905</v>
      </c>
    </row>
    <row r="72" spans="1:16" x14ac:dyDescent="0.2">
      <c r="A72" s="37"/>
      <c r="B72" s="37">
        <v>12</v>
      </c>
      <c r="C72" s="37">
        <v>44.709090909090904</v>
      </c>
      <c r="D72" s="45">
        <v>43.709090909090904</v>
      </c>
      <c r="E72" s="39">
        <v>42.709090909090904</v>
      </c>
      <c r="F72" s="39">
        <v>41.709090909090904</v>
      </c>
      <c r="G72" s="39">
        <v>40.709090909090904</v>
      </c>
      <c r="H72" s="39">
        <v>39.709090909090904</v>
      </c>
      <c r="I72" s="39">
        <v>38.709090909090904</v>
      </c>
      <c r="J72" s="39">
        <v>37.709090909090904</v>
      </c>
      <c r="K72" s="39">
        <v>36.709090909090904</v>
      </c>
      <c r="L72" s="39">
        <v>35.709090909090904</v>
      </c>
      <c r="M72" s="39">
        <v>34.709090909090904</v>
      </c>
      <c r="N72" s="39">
        <v>33.709090909090904</v>
      </c>
      <c r="O72" s="39">
        <v>32.709090909090904</v>
      </c>
      <c r="P72" s="46">
        <v>31.709090909090904</v>
      </c>
    </row>
    <row r="73" spans="1:16" x14ac:dyDescent="0.2">
      <c r="A73" s="37"/>
      <c r="B73" s="37">
        <v>13</v>
      </c>
      <c r="C73" s="37">
        <v>48.359090909090902</v>
      </c>
      <c r="D73" s="47">
        <v>47.359090909090902</v>
      </c>
      <c r="E73" s="40">
        <v>46.359090909090902</v>
      </c>
      <c r="F73" s="40">
        <v>45.359090909090902</v>
      </c>
      <c r="G73" s="40">
        <v>44.359090909090902</v>
      </c>
      <c r="H73" s="40">
        <v>43.359090909090902</v>
      </c>
      <c r="I73" s="40">
        <v>42.359090909090902</v>
      </c>
      <c r="J73" s="40">
        <v>41.359090909090902</v>
      </c>
      <c r="K73" s="40">
        <v>40.359090909090902</v>
      </c>
      <c r="L73" s="40">
        <v>39.359090909090902</v>
      </c>
      <c r="M73" s="40">
        <v>38.359090909090902</v>
      </c>
      <c r="N73" s="40">
        <v>37.359090909090902</v>
      </c>
      <c r="O73" s="40">
        <v>36.359090909090902</v>
      </c>
      <c r="P73" s="20">
        <v>35.359090909090902</v>
      </c>
    </row>
    <row r="74" spans="1:16" x14ac:dyDescent="0.2">
      <c r="A74" s="37"/>
      <c r="B74" s="37"/>
      <c r="C74" s="37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 x14ac:dyDescent="0.2">
      <c r="A75" s="37"/>
      <c r="B75" s="37"/>
      <c r="C75" s="37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16" ht="16" thickBot="1" x14ac:dyDescent="0.25">
      <c r="A76" s="37"/>
      <c r="B76" s="97" t="s">
        <v>79</v>
      </c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</row>
    <row r="77" spans="1:16" x14ac:dyDescent="0.2">
      <c r="A77" s="37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x14ac:dyDescent="0.2">
      <c r="A78" s="98"/>
      <c r="B78" s="98"/>
      <c r="C78" s="41"/>
      <c r="D78" s="41"/>
      <c r="E78" s="41"/>
      <c r="F78" s="41"/>
      <c r="G78" s="41"/>
      <c r="H78" s="43" t="str">
        <f>B7</f>
        <v>lakers</v>
      </c>
      <c r="I78" s="41"/>
      <c r="J78" s="41"/>
      <c r="K78" s="41"/>
      <c r="L78" s="41"/>
      <c r="M78" s="41"/>
      <c r="N78" s="41"/>
      <c r="O78" s="41"/>
      <c r="P78" s="41"/>
    </row>
    <row r="79" spans="1:16" x14ac:dyDescent="0.2">
      <c r="A79" s="60"/>
      <c r="B79" s="68"/>
      <c r="C79" s="36"/>
      <c r="D79" s="36"/>
      <c r="E79" s="36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</row>
    <row r="80" spans="1:16" x14ac:dyDescent="0.2">
      <c r="A80" s="60"/>
      <c r="B80" s="37"/>
      <c r="D80" s="37">
        <v>1</v>
      </c>
      <c r="E80" s="37">
        <v>2</v>
      </c>
      <c r="F80" s="37">
        <v>3</v>
      </c>
      <c r="G80" s="37">
        <v>4</v>
      </c>
      <c r="H80" s="37">
        <v>5</v>
      </c>
      <c r="I80" s="37">
        <v>6</v>
      </c>
      <c r="J80" s="37">
        <v>7</v>
      </c>
      <c r="K80" s="37">
        <v>8</v>
      </c>
      <c r="L80" s="37">
        <v>9</v>
      </c>
      <c r="M80" s="37">
        <v>10</v>
      </c>
      <c r="N80" s="37">
        <v>11</v>
      </c>
      <c r="O80" s="37">
        <v>12</v>
      </c>
      <c r="P80" s="37">
        <v>13</v>
      </c>
    </row>
    <row r="81" spans="1:16" x14ac:dyDescent="0.2">
      <c r="A81" s="60"/>
      <c r="B81" s="37">
        <v>1</v>
      </c>
      <c r="D81" s="79" t="str">
        <f>IF(D61&gt;0, IF(D40&gt;0, IF(D61&gt;D40, $A$67, $H$37), "X"), "X")</f>
        <v>76ers</v>
      </c>
      <c r="E81" s="80" t="str">
        <f t="shared" ref="E81:P81" si="0">IF(E61&gt;0, IF(E40&gt;0, IF(E61&gt;E40, $A$67, $H$37), "X"), "X")</f>
        <v>lakers</v>
      </c>
      <c r="F81" s="80" t="str">
        <f t="shared" si="0"/>
        <v>lakers</v>
      </c>
      <c r="G81" s="80" t="str">
        <f t="shared" si="0"/>
        <v>lakers</v>
      </c>
      <c r="H81" s="80" t="str">
        <f t="shared" si="0"/>
        <v>X</v>
      </c>
      <c r="I81" s="80" t="str">
        <f t="shared" si="0"/>
        <v>X</v>
      </c>
      <c r="J81" s="80" t="str">
        <f t="shared" si="0"/>
        <v>X</v>
      </c>
      <c r="K81" s="80" t="str">
        <f t="shared" si="0"/>
        <v>X</v>
      </c>
      <c r="L81" s="80" t="str">
        <f t="shared" si="0"/>
        <v>X</v>
      </c>
      <c r="M81" s="80" t="str">
        <f t="shared" si="0"/>
        <v>X</v>
      </c>
      <c r="N81" s="80" t="str">
        <f t="shared" si="0"/>
        <v>X</v>
      </c>
      <c r="O81" s="80" t="str">
        <f t="shared" si="0"/>
        <v>X</v>
      </c>
      <c r="P81" s="81" t="str">
        <f t="shared" si="0"/>
        <v>X</v>
      </c>
    </row>
    <row r="82" spans="1:16" x14ac:dyDescent="0.2">
      <c r="A82" s="60"/>
      <c r="B82" s="37">
        <v>2</v>
      </c>
      <c r="D82" s="82" t="str">
        <f t="shared" ref="D82:P82" si="1">IF(D62&gt;0, IF(D41&gt;0, IF(D62&gt;D41, $A$67, $H$37), "X"), "X")</f>
        <v>76ers</v>
      </c>
      <c r="E82" s="39" t="str">
        <f t="shared" si="1"/>
        <v>76ers</v>
      </c>
      <c r="F82" s="39" t="str">
        <f t="shared" si="1"/>
        <v>lakers</v>
      </c>
      <c r="G82" s="39" t="str">
        <f t="shared" si="1"/>
        <v>lakers</v>
      </c>
      <c r="H82" s="39" t="str">
        <f t="shared" si="1"/>
        <v>lakers</v>
      </c>
      <c r="I82" s="39" t="str">
        <f t="shared" si="1"/>
        <v>lakers</v>
      </c>
      <c r="J82" s="39" t="str">
        <f t="shared" si="1"/>
        <v>lakers</v>
      </c>
      <c r="K82" s="39" t="str">
        <f t="shared" si="1"/>
        <v>lakers</v>
      </c>
      <c r="L82" s="39" t="str">
        <f t="shared" si="1"/>
        <v>X</v>
      </c>
      <c r="M82" s="39" t="str">
        <f t="shared" si="1"/>
        <v>X</v>
      </c>
      <c r="N82" s="39" t="str">
        <f t="shared" si="1"/>
        <v>X</v>
      </c>
      <c r="O82" s="39" t="str">
        <f t="shared" si="1"/>
        <v>X</v>
      </c>
      <c r="P82" s="83" t="str">
        <f t="shared" si="1"/>
        <v>X</v>
      </c>
    </row>
    <row r="83" spans="1:16" x14ac:dyDescent="0.2">
      <c r="A83" s="60"/>
      <c r="B83" s="37">
        <v>3</v>
      </c>
      <c r="D83" s="82" t="str">
        <f t="shared" ref="D83:P83" si="2">IF(D63&gt;0, IF(D42&gt;0, IF(D63&gt;D42, $A$67, $H$37), "X"), "X")</f>
        <v>76ers</v>
      </c>
      <c r="E83" s="39" t="str">
        <f t="shared" si="2"/>
        <v>76ers</v>
      </c>
      <c r="F83" s="39" t="str">
        <f t="shared" si="2"/>
        <v>76ers</v>
      </c>
      <c r="G83" s="39" t="str">
        <f t="shared" si="2"/>
        <v>lakers</v>
      </c>
      <c r="H83" s="39" t="str">
        <f t="shared" si="2"/>
        <v>lakers</v>
      </c>
      <c r="I83" s="39" t="str">
        <f t="shared" si="2"/>
        <v>lakers</v>
      </c>
      <c r="J83" s="39" t="str">
        <f t="shared" si="2"/>
        <v>lakers</v>
      </c>
      <c r="K83" s="39" t="str">
        <f t="shared" si="2"/>
        <v>lakers</v>
      </c>
      <c r="L83" s="39" t="str">
        <f t="shared" si="2"/>
        <v>lakers</v>
      </c>
      <c r="M83" s="39" t="str">
        <f t="shared" si="2"/>
        <v>lakers</v>
      </c>
      <c r="N83" s="39" t="str">
        <f t="shared" si="2"/>
        <v>lakers</v>
      </c>
      <c r="O83" s="39" t="str">
        <f t="shared" si="2"/>
        <v>X</v>
      </c>
      <c r="P83" s="83" t="str">
        <f t="shared" si="2"/>
        <v>X</v>
      </c>
    </row>
    <row r="84" spans="1:16" x14ac:dyDescent="0.2">
      <c r="A84" s="60"/>
      <c r="B84" s="37">
        <v>4</v>
      </c>
      <c r="D84" s="82" t="str">
        <f t="shared" ref="D84:P84" si="3">IF(D64&gt;0, IF(D43&gt;0, IF(D64&gt;D43, $A$67, $H$37), "X"), "X")</f>
        <v>X</v>
      </c>
      <c r="E84" s="39" t="str">
        <f t="shared" si="3"/>
        <v>76ers</v>
      </c>
      <c r="F84" s="39" t="str">
        <f t="shared" si="3"/>
        <v>76ers</v>
      </c>
      <c r="G84" s="39" t="str">
        <f t="shared" si="3"/>
        <v>76ers</v>
      </c>
      <c r="H84" s="39" t="str">
        <f t="shared" si="3"/>
        <v>lakers</v>
      </c>
      <c r="I84" s="39" t="str">
        <f t="shared" si="3"/>
        <v>lakers</v>
      </c>
      <c r="J84" s="39" t="str">
        <f t="shared" si="3"/>
        <v>lakers</v>
      </c>
      <c r="K84" s="39" t="str">
        <f t="shared" si="3"/>
        <v>lakers</v>
      </c>
      <c r="L84" s="39" t="str">
        <f t="shared" si="3"/>
        <v>lakers</v>
      </c>
      <c r="M84" s="39" t="str">
        <f t="shared" si="3"/>
        <v>lakers</v>
      </c>
      <c r="N84" s="39" t="str">
        <f t="shared" si="3"/>
        <v>lakers</v>
      </c>
      <c r="O84" s="39" t="str">
        <f t="shared" si="3"/>
        <v>lakers</v>
      </c>
      <c r="P84" s="83" t="str">
        <f t="shared" si="3"/>
        <v>lakers</v>
      </c>
    </row>
    <row r="85" spans="1:16" x14ac:dyDescent="0.2">
      <c r="A85" s="60"/>
      <c r="B85" s="37">
        <v>5</v>
      </c>
      <c r="D85" s="82" t="str">
        <f t="shared" ref="D85:P85" si="4">IF(D65&gt;0, IF(D44&gt;0, IF(D65&gt;D44, $A$67, $H$37), "X"), "X")</f>
        <v>X</v>
      </c>
      <c r="E85" s="39" t="str">
        <f t="shared" si="4"/>
        <v>76ers</v>
      </c>
      <c r="F85" s="39" t="str">
        <f t="shared" si="4"/>
        <v>76ers</v>
      </c>
      <c r="G85" s="39" t="str">
        <f t="shared" si="4"/>
        <v>76ers</v>
      </c>
      <c r="H85" s="39" t="str">
        <f t="shared" si="4"/>
        <v>76ers</v>
      </c>
      <c r="I85" s="39" t="str">
        <f t="shared" si="4"/>
        <v>76ers</v>
      </c>
      <c r="J85" s="39" t="str">
        <f t="shared" si="4"/>
        <v>lakers</v>
      </c>
      <c r="K85" s="39" t="str">
        <f t="shared" si="4"/>
        <v>lakers</v>
      </c>
      <c r="L85" s="39" t="str">
        <f t="shared" si="4"/>
        <v>lakers</v>
      </c>
      <c r="M85" s="39" t="str">
        <f t="shared" si="4"/>
        <v>lakers</v>
      </c>
      <c r="N85" s="39" t="str">
        <f t="shared" si="4"/>
        <v>lakers</v>
      </c>
      <c r="O85" s="39" t="str">
        <f t="shared" si="4"/>
        <v>lakers</v>
      </c>
      <c r="P85" s="83" t="str">
        <f t="shared" si="4"/>
        <v>lakers</v>
      </c>
    </row>
    <row r="86" spans="1:16" x14ac:dyDescent="0.2">
      <c r="A86" s="60"/>
      <c r="B86" s="37">
        <v>6</v>
      </c>
      <c r="D86" s="82" t="str">
        <f t="shared" ref="D86:P86" si="5">IF(D66&gt;0, IF(D45&gt;0, IF(D66&gt;D45, $A$67, $H$37), "X"), "X")</f>
        <v>X</v>
      </c>
      <c r="E86" s="39" t="str">
        <f t="shared" si="5"/>
        <v>76ers</v>
      </c>
      <c r="F86" s="39" t="str">
        <f t="shared" si="5"/>
        <v>76ers</v>
      </c>
      <c r="G86" s="39" t="str">
        <f t="shared" si="5"/>
        <v>76ers</v>
      </c>
      <c r="H86" s="39" t="str">
        <f t="shared" si="5"/>
        <v>76ers</v>
      </c>
      <c r="I86" s="39" t="str">
        <f t="shared" si="5"/>
        <v>76ers</v>
      </c>
      <c r="J86" s="39" t="str">
        <f t="shared" si="5"/>
        <v>76ers</v>
      </c>
      <c r="K86" s="39" t="str">
        <f t="shared" si="5"/>
        <v>lakers</v>
      </c>
      <c r="L86" s="39" t="str">
        <f t="shared" si="5"/>
        <v>lakers</v>
      </c>
      <c r="M86" s="39" t="str">
        <f t="shared" si="5"/>
        <v>lakers</v>
      </c>
      <c r="N86" s="39" t="str">
        <f t="shared" si="5"/>
        <v>lakers</v>
      </c>
      <c r="O86" s="39" t="str">
        <f t="shared" si="5"/>
        <v>lakers</v>
      </c>
      <c r="P86" s="83" t="str">
        <f t="shared" si="5"/>
        <v>lakers</v>
      </c>
    </row>
    <row r="87" spans="1:16" x14ac:dyDescent="0.2">
      <c r="A87" s="60" t="str">
        <f>B9</f>
        <v>76ers</v>
      </c>
      <c r="B87" s="37">
        <v>7</v>
      </c>
      <c r="D87" s="82" t="str">
        <f t="shared" ref="D87:P87" si="6">IF(D67&gt;0, IF(D46&gt;0, IF(D67&gt;D46, $A$67, $H$37), "X"), "X")</f>
        <v>X</v>
      </c>
      <c r="E87" s="39" t="str">
        <f t="shared" si="6"/>
        <v>X</v>
      </c>
      <c r="F87" s="39" t="str">
        <f t="shared" si="6"/>
        <v>76ers</v>
      </c>
      <c r="G87" s="39" t="str">
        <f t="shared" si="6"/>
        <v>76ers</v>
      </c>
      <c r="H87" s="39" t="str">
        <f t="shared" si="6"/>
        <v>76ers</v>
      </c>
      <c r="I87" s="39" t="str">
        <f t="shared" si="6"/>
        <v>76ers</v>
      </c>
      <c r="J87" s="39" t="str">
        <f t="shared" si="6"/>
        <v>76ers</v>
      </c>
      <c r="K87" s="39" t="str">
        <f t="shared" si="6"/>
        <v>76ers</v>
      </c>
      <c r="L87" s="39" t="str">
        <f t="shared" si="6"/>
        <v>lakers</v>
      </c>
      <c r="M87" s="39" t="str">
        <f t="shared" si="6"/>
        <v>lakers</v>
      </c>
      <c r="N87" s="39" t="str">
        <f t="shared" si="6"/>
        <v>lakers</v>
      </c>
      <c r="O87" s="39" t="str">
        <f t="shared" si="6"/>
        <v>lakers</v>
      </c>
      <c r="P87" s="83" t="str">
        <f t="shared" si="6"/>
        <v>lakers</v>
      </c>
    </row>
    <row r="88" spans="1:16" x14ac:dyDescent="0.2">
      <c r="A88" s="60"/>
      <c r="B88" s="37">
        <v>8</v>
      </c>
      <c r="D88" s="82" t="str">
        <f t="shared" ref="D88:P88" si="7">IF(D68&gt;0, IF(D47&gt;0, IF(D68&gt;D47, $A$67, $H$37), "X"), "X")</f>
        <v>X</v>
      </c>
      <c r="E88" s="39" t="str">
        <f t="shared" si="7"/>
        <v>X</v>
      </c>
      <c r="F88" s="39" t="str">
        <f t="shared" si="7"/>
        <v>76ers</v>
      </c>
      <c r="G88" s="39" t="str">
        <f t="shared" si="7"/>
        <v>76ers</v>
      </c>
      <c r="H88" s="39" t="str">
        <f t="shared" si="7"/>
        <v>76ers</v>
      </c>
      <c r="I88" s="39" t="str">
        <f t="shared" si="7"/>
        <v>76ers</v>
      </c>
      <c r="J88" s="39" t="str">
        <f t="shared" si="7"/>
        <v>76ers</v>
      </c>
      <c r="K88" s="39" t="str">
        <f t="shared" si="7"/>
        <v>76ers</v>
      </c>
      <c r="L88" s="39" t="str">
        <f t="shared" si="7"/>
        <v>76ers</v>
      </c>
      <c r="M88" s="39" t="str">
        <f t="shared" si="7"/>
        <v>lakers</v>
      </c>
      <c r="N88" s="39" t="str">
        <f t="shared" si="7"/>
        <v>lakers</v>
      </c>
      <c r="O88" s="39" t="str">
        <f t="shared" si="7"/>
        <v>lakers</v>
      </c>
      <c r="P88" s="83" t="str">
        <f t="shared" si="7"/>
        <v>lakers</v>
      </c>
    </row>
    <row r="89" spans="1:16" x14ac:dyDescent="0.2">
      <c r="A89" s="60"/>
      <c r="B89" s="37">
        <v>9</v>
      </c>
      <c r="D89" s="82" t="str">
        <f t="shared" ref="D89:P89" si="8">IF(D69&gt;0, IF(D48&gt;0, IF(D69&gt;D48, $A$67, $H$37), "X"), "X")</f>
        <v>X</v>
      </c>
      <c r="E89" s="39" t="str">
        <f t="shared" si="8"/>
        <v>X</v>
      </c>
      <c r="F89" s="39" t="str">
        <f t="shared" si="8"/>
        <v>76ers</v>
      </c>
      <c r="G89" s="39" t="str">
        <f t="shared" si="8"/>
        <v>76ers</v>
      </c>
      <c r="H89" s="39" t="str">
        <f t="shared" si="8"/>
        <v>76ers</v>
      </c>
      <c r="I89" s="39" t="str">
        <f t="shared" si="8"/>
        <v>76ers</v>
      </c>
      <c r="J89" s="39" t="str">
        <f t="shared" si="8"/>
        <v>76ers</v>
      </c>
      <c r="K89" s="39" t="str">
        <f t="shared" si="8"/>
        <v>76ers</v>
      </c>
      <c r="L89" s="39" t="str">
        <f t="shared" si="8"/>
        <v>76ers</v>
      </c>
      <c r="M89" s="39" t="str">
        <f t="shared" si="8"/>
        <v>76ers</v>
      </c>
      <c r="N89" s="39" t="str">
        <f t="shared" si="8"/>
        <v>76ers</v>
      </c>
      <c r="O89" s="39" t="str">
        <f t="shared" si="8"/>
        <v>lakers</v>
      </c>
      <c r="P89" s="83" t="str">
        <f t="shared" si="8"/>
        <v>lakers</v>
      </c>
    </row>
    <row r="90" spans="1:16" x14ac:dyDescent="0.2">
      <c r="A90" s="60"/>
      <c r="B90" s="37">
        <v>10</v>
      </c>
      <c r="D90" s="82" t="str">
        <f t="shared" ref="D90:P90" si="9">IF(D70&gt;0, IF(D49&gt;0, IF(D70&gt;D49, $A$67, $H$37), "X"), "X")</f>
        <v>X</v>
      </c>
      <c r="E90" s="39" t="str">
        <f t="shared" si="9"/>
        <v>X</v>
      </c>
      <c r="F90" s="39" t="str">
        <f t="shared" si="9"/>
        <v>X</v>
      </c>
      <c r="G90" s="39" t="str">
        <f t="shared" si="9"/>
        <v>76ers</v>
      </c>
      <c r="H90" s="39" t="str">
        <f t="shared" si="9"/>
        <v>76ers</v>
      </c>
      <c r="I90" s="39" t="str">
        <f t="shared" si="9"/>
        <v>76ers</v>
      </c>
      <c r="J90" s="39" t="str">
        <f t="shared" si="9"/>
        <v>76ers</v>
      </c>
      <c r="K90" s="39" t="str">
        <f t="shared" si="9"/>
        <v>76ers</v>
      </c>
      <c r="L90" s="39" t="str">
        <f t="shared" si="9"/>
        <v>76ers</v>
      </c>
      <c r="M90" s="39" t="str">
        <f t="shared" si="9"/>
        <v>76ers</v>
      </c>
      <c r="N90" s="39" t="str">
        <f t="shared" si="9"/>
        <v>76ers</v>
      </c>
      <c r="O90" s="39" t="str">
        <f t="shared" si="9"/>
        <v>76ers</v>
      </c>
      <c r="P90" s="83" t="str">
        <f t="shared" si="9"/>
        <v>lakers</v>
      </c>
    </row>
    <row r="91" spans="1:16" x14ac:dyDescent="0.2">
      <c r="A91" s="60"/>
      <c r="B91" s="37">
        <v>11</v>
      </c>
      <c r="D91" s="82" t="str">
        <f t="shared" ref="D91:P91" si="10">IF(D71&gt;0, IF(D50&gt;0, IF(D71&gt;D50, $A$67, $H$37), "X"), "X")</f>
        <v>X</v>
      </c>
      <c r="E91" s="39" t="str">
        <f t="shared" si="10"/>
        <v>X</v>
      </c>
      <c r="F91" s="39" t="str">
        <f t="shared" si="10"/>
        <v>X</v>
      </c>
      <c r="G91" s="39" t="str">
        <f t="shared" si="10"/>
        <v>76ers</v>
      </c>
      <c r="H91" s="39" t="str">
        <f t="shared" si="10"/>
        <v>76ers</v>
      </c>
      <c r="I91" s="39" t="str">
        <f t="shared" si="10"/>
        <v>76ers</v>
      </c>
      <c r="J91" s="39" t="str">
        <f t="shared" si="10"/>
        <v>76ers</v>
      </c>
      <c r="K91" s="39" t="str">
        <f t="shared" si="10"/>
        <v>76ers</v>
      </c>
      <c r="L91" s="39" t="str">
        <f t="shared" si="10"/>
        <v>76ers</v>
      </c>
      <c r="M91" s="39" t="str">
        <f t="shared" si="10"/>
        <v>76ers</v>
      </c>
      <c r="N91" s="39" t="str">
        <f t="shared" si="10"/>
        <v>76ers</v>
      </c>
      <c r="O91" s="39" t="str">
        <f t="shared" si="10"/>
        <v>76ers</v>
      </c>
      <c r="P91" s="83" t="str">
        <f t="shared" si="10"/>
        <v>76ers</v>
      </c>
    </row>
    <row r="92" spans="1:16" x14ac:dyDescent="0.2">
      <c r="A92" s="60"/>
      <c r="B92" s="37">
        <v>12</v>
      </c>
      <c r="D92" s="82" t="str">
        <f t="shared" ref="D92:P92" si="11">IF(D72&gt;0, IF(D51&gt;0, IF(D72&gt;D51, $A$67, $H$37), "X"), "X")</f>
        <v>X</v>
      </c>
      <c r="E92" s="39" t="str">
        <f t="shared" si="11"/>
        <v>X</v>
      </c>
      <c r="F92" s="39" t="str">
        <f t="shared" si="11"/>
        <v>X</v>
      </c>
      <c r="G92" s="39" t="str">
        <f t="shared" si="11"/>
        <v>X</v>
      </c>
      <c r="H92" s="39" t="str">
        <f t="shared" si="11"/>
        <v>76ers</v>
      </c>
      <c r="I92" s="39" t="str">
        <f t="shared" si="11"/>
        <v>76ers</v>
      </c>
      <c r="J92" s="39" t="str">
        <f t="shared" si="11"/>
        <v>76ers</v>
      </c>
      <c r="K92" s="39" t="str">
        <f t="shared" si="11"/>
        <v>76ers</v>
      </c>
      <c r="L92" s="39" t="str">
        <f t="shared" si="11"/>
        <v>76ers</v>
      </c>
      <c r="M92" s="39" t="str">
        <f t="shared" si="11"/>
        <v>76ers</v>
      </c>
      <c r="N92" s="39" t="str">
        <f t="shared" si="11"/>
        <v>76ers</v>
      </c>
      <c r="O92" s="39" t="str">
        <f t="shared" si="11"/>
        <v>76ers</v>
      </c>
      <c r="P92" s="83" t="str">
        <f t="shared" si="11"/>
        <v>76ers</v>
      </c>
    </row>
    <row r="93" spans="1:16" x14ac:dyDescent="0.2">
      <c r="A93" s="60"/>
      <c r="B93" s="37">
        <v>13</v>
      </c>
      <c r="D93" s="84" t="str">
        <f t="shared" ref="D93:P93" si="12">IF(D73&gt;0, IF(D52&gt;0, IF(D73&gt;D52, $A$67, $H$37), "X"), "X")</f>
        <v>X</v>
      </c>
      <c r="E93" s="85" t="str">
        <f t="shared" si="12"/>
        <v>X</v>
      </c>
      <c r="F93" s="85" t="str">
        <f t="shared" si="12"/>
        <v>X</v>
      </c>
      <c r="G93" s="85" t="str">
        <f t="shared" si="12"/>
        <v>X</v>
      </c>
      <c r="H93" s="85" t="str">
        <f t="shared" si="12"/>
        <v>76ers</v>
      </c>
      <c r="I93" s="85" t="str">
        <f t="shared" si="12"/>
        <v>76ers</v>
      </c>
      <c r="J93" s="85" t="str">
        <f t="shared" si="12"/>
        <v>76ers</v>
      </c>
      <c r="K93" s="85" t="str">
        <f t="shared" si="12"/>
        <v>76ers</v>
      </c>
      <c r="L93" s="85" t="str">
        <f t="shared" si="12"/>
        <v>76ers</v>
      </c>
      <c r="M93" s="85" t="str">
        <f t="shared" si="12"/>
        <v>76ers</v>
      </c>
      <c r="N93" s="85" t="str">
        <f t="shared" si="12"/>
        <v>76ers</v>
      </c>
      <c r="O93" s="85" t="str">
        <f t="shared" si="12"/>
        <v>76ers</v>
      </c>
      <c r="P93" s="86" t="str">
        <f t="shared" si="12"/>
        <v>76ers</v>
      </c>
    </row>
    <row r="94" spans="1:16" x14ac:dyDescent="0.2">
      <c r="D94" s="1">
        <f t="shared" ref="D94:P94" si="13">IF(D76&gt;0, IF(D53&gt;0, "X", -1), -1)</f>
        <v>-1</v>
      </c>
      <c r="E94" s="1">
        <f t="shared" si="13"/>
        <v>-1</v>
      </c>
      <c r="F94" s="1">
        <f t="shared" si="13"/>
        <v>-1</v>
      </c>
      <c r="G94" s="1">
        <f t="shared" si="13"/>
        <v>-1</v>
      </c>
      <c r="H94" s="1">
        <f t="shared" si="13"/>
        <v>-1</v>
      </c>
      <c r="I94" s="1">
        <f t="shared" si="13"/>
        <v>-1</v>
      </c>
      <c r="J94" s="1">
        <f t="shared" si="13"/>
        <v>-1</v>
      </c>
      <c r="K94" s="1">
        <f t="shared" si="13"/>
        <v>-1</v>
      </c>
      <c r="L94" s="1">
        <f t="shared" si="13"/>
        <v>-1</v>
      </c>
      <c r="M94" s="1">
        <f t="shared" si="13"/>
        <v>-1</v>
      </c>
      <c r="N94" s="1">
        <f t="shared" si="13"/>
        <v>-1</v>
      </c>
      <c r="O94" s="1">
        <f t="shared" si="13"/>
        <v>-1</v>
      </c>
      <c r="P94" s="1">
        <f t="shared" si="13"/>
        <v>-1</v>
      </c>
    </row>
  </sheetData>
  <mergeCells count="7">
    <mergeCell ref="B76:P76"/>
    <mergeCell ref="A78:B78"/>
    <mergeCell ref="B20:E20"/>
    <mergeCell ref="B27:E27"/>
    <mergeCell ref="B35:P35"/>
    <mergeCell ref="B56:P56"/>
    <mergeCell ref="A58:B58"/>
  </mergeCells>
  <conditionalFormatting sqref="H9:H10">
    <cfRule type="cellIs" dxfId="65" priority="26" operator="lessThan">
      <formula>0</formula>
    </cfRule>
    <cfRule type="cellIs" dxfId="64" priority="27" operator="greaterThan">
      <formula>0</formula>
    </cfRule>
  </conditionalFormatting>
  <conditionalFormatting sqref="H6:H7">
    <cfRule type="cellIs" dxfId="63" priority="28" operator="lessThan">
      <formula>0</formula>
    </cfRule>
    <cfRule type="cellIs" dxfId="62" priority="29" operator="greaterThan">
      <formula>0</formula>
    </cfRule>
  </conditionalFormatting>
  <conditionalFormatting sqref="D30:E31">
    <cfRule type="cellIs" dxfId="61" priority="23" operator="lessThan">
      <formula>0</formula>
    </cfRule>
    <cfRule type="cellIs" dxfId="60" priority="24" operator="greaterThan">
      <formula>0</formula>
    </cfRule>
  </conditionalFormatting>
  <conditionalFormatting sqref="D40:H44">
    <cfRule type="cellIs" dxfId="59" priority="22" operator="greaterThan">
      <formula>0</formula>
    </cfRule>
  </conditionalFormatting>
  <conditionalFormatting sqref="D42:D44">
    <cfRule type="cellIs" dxfId="58" priority="21" operator="lessThan">
      <formula>0</formula>
    </cfRule>
  </conditionalFormatting>
  <conditionalFormatting sqref="D40:P52">
    <cfRule type="cellIs" dxfId="57" priority="19" operator="lessThan">
      <formula>0</formula>
    </cfRule>
    <cfRule type="cellIs" dxfId="56" priority="20" operator="greaterThan">
      <formula>0</formula>
    </cfRule>
  </conditionalFormatting>
  <conditionalFormatting sqref="D61:H65">
    <cfRule type="cellIs" dxfId="55" priority="14" operator="greaterThan">
      <formula>0</formula>
    </cfRule>
  </conditionalFormatting>
  <conditionalFormatting sqref="D63:D65">
    <cfRule type="cellIs" dxfId="54" priority="13" operator="lessThan">
      <formula>0</formula>
    </cfRule>
  </conditionalFormatting>
  <conditionalFormatting sqref="D61:P75">
    <cfRule type="cellIs" dxfId="53" priority="11" operator="lessThan">
      <formula>0</formula>
    </cfRule>
    <cfRule type="cellIs" dxfId="52" priority="12" operator="greaterThan">
      <formula>0</formula>
    </cfRule>
  </conditionalFormatting>
  <conditionalFormatting sqref="D81:P94">
    <cfRule type="cellIs" dxfId="51" priority="8" operator="lessThan">
      <formula>0</formula>
    </cfRule>
  </conditionalFormatting>
  <conditionalFormatting sqref="D81:P93">
    <cfRule type="cellIs" dxfId="50" priority="1" operator="equal">
      <formula>$H$78</formula>
    </cfRule>
    <cfRule type="cellIs" dxfId="49" priority="4" operator="equal">
      <formula>"X"</formula>
    </cfRule>
    <cfRule type="cellIs" dxfId="48" priority="5" operator="equal">
      <formula>"X"</formula>
    </cfRule>
    <cfRule type="cellIs" dxfId="47" priority="6" operator="lessThan">
      <formula>0</formula>
    </cfRule>
    <cfRule type="cellIs" dxfId="46" priority="7" operator="lessThan">
      <formula>0</formula>
    </cfRule>
  </conditionalFormatting>
  <dataValidations count="1">
    <dataValidation type="list" allowBlank="1" showInputMessage="1" showErrorMessage="1" sqref="I6:I7 I9:I10" xr:uid="{86A3275C-B1F7-449F-91CF-1928F8181E12}">
      <formula1>"Winning Bet, Losing Bet, No Bet"</formula1>
    </dataValidation>
  </dataValidations>
  <pageMargins left="0.7" right="0.7" top="0.75" bottom="0.75" header="0.3" footer="0.3"/>
  <pageSetup orientation="portrait" horizontalDpi="0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6850CBA-A36F-42B9-8EC1-17E295766BA7}">
            <xm:f>NOT(ISERROR(SEARCH($A$87,D81)))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D81:P93</xm:sqref>
        </x14:conditionalFormatting>
        <x14:conditionalFormatting xmlns:xm="http://schemas.microsoft.com/office/excel/2006/main">
          <x14:cfRule type="containsText" priority="3" operator="containsText" id="{0282D510-332C-44A5-9FD7-9526B2A4EDF2}">
            <xm:f>NOT(ISERROR(SEARCH($A$87,K97)))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K97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0A64-7809-4848-8B85-F3BE2087243F}">
  <dimension ref="A4:P94"/>
  <sheetViews>
    <sheetView tabSelected="1" topLeftCell="A3" zoomScale="87" zoomScaleNormal="55" workbookViewId="0">
      <selection activeCell="D10" sqref="D10"/>
    </sheetView>
  </sheetViews>
  <sheetFormatPr baseColWidth="10" defaultColWidth="8.83203125" defaultRowHeight="15" x14ac:dyDescent="0.2"/>
  <cols>
    <col min="1" max="1" width="18.6640625" customWidth="1"/>
    <col min="2" max="2" width="40.6640625" customWidth="1"/>
    <col min="3" max="3" width="0" hidden="1" customWidth="1"/>
    <col min="4" max="6" width="18.6640625" bestFit="1" customWidth="1"/>
    <col min="7" max="7" width="22.33203125" bestFit="1" customWidth="1"/>
    <col min="8" max="16" width="18.6640625" bestFit="1" customWidth="1"/>
    <col min="17" max="21" width="17.6640625" customWidth="1"/>
  </cols>
  <sheetData>
    <row r="4" spans="1:9" ht="16" thickBot="1" x14ac:dyDescent="0.25">
      <c r="B4" s="77">
        <v>1</v>
      </c>
      <c r="C4" s="77"/>
      <c r="D4" s="77">
        <v>2</v>
      </c>
      <c r="E4" s="77">
        <v>3</v>
      </c>
      <c r="F4" s="77">
        <v>4</v>
      </c>
      <c r="G4" s="77">
        <v>5</v>
      </c>
      <c r="H4" s="77">
        <v>6</v>
      </c>
      <c r="I4" s="77">
        <v>7</v>
      </c>
    </row>
    <row r="5" spans="1:9" ht="26" customHeight="1" thickBot="1" x14ac:dyDescent="0.25">
      <c r="B5" s="76" t="s">
        <v>39</v>
      </c>
      <c r="C5" s="75" t="s">
        <v>1</v>
      </c>
      <c r="D5" s="23" t="s">
        <v>2</v>
      </c>
      <c r="E5" s="23" t="s">
        <v>46</v>
      </c>
      <c r="F5" s="23" t="s">
        <v>32</v>
      </c>
      <c r="G5" s="23" t="s">
        <v>58</v>
      </c>
      <c r="H5" s="23" t="s">
        <v>45</v>
      </c>
      <c r="I5" s="24" t="s">
        <v>33</v>
      </c>
    </row>
    <row r="6" spans="1:9" ht="50" customHeight="1" x14ac:dyDescent="0.2">
      <c r="B6" s="100" t="s">
        <v>87</v>
      </c>
      <c r="C6" s="101"/>
      <c r="D6" s="102">
        <v>-350</v>
      </c>
      <c r="E6" s="9">
        <f>IF(D6&lt;0,ABS(D6)/(ABS(D6)+100), 100/ (D6 +100 ))</f>
        <v>0.77777777777777779</v>
      </c>
      <c r="F6" s="10">
        <f>IF(D6&gt;0, ABS(D6/100), ABS(100/D6))</f>
        <v>0.2857142857142857</v>
      </c>
      <c r="G6" s="8">
        <v>500</v>
      </c>
      <c r="H6" s="11">
        <f>IF(I6 = "Winning Bet", G6*F6+G6, IF(I6 = "Losing Bet", -G6, 0))</f>
        <v>642.85714285714289</v>
      </c>
      <c r="I6" s="12" t="s">
        <v>34</v>
      </c>
    </row>
    <row r="7" spans="1:9" ht="50" customHeight="1" x14ac:dyDescent="0.2">
      <c r="A7" t="s">
        <v>78</v>
      </c>
      <c r="B7" s="103" t="s">
        <v>83</v>
      </c>
      <c r="C7" s="104"/>
      <c r="D7" s="105">
        <v>400</v>
      </c>
      <c r="E7" s="9">
        <f>IF(D7&lt;0,ABS(D7)/(ABS(D7)+100), 100/ (D7 +100 ))</f>
        <v>0.2</v>
      </c>
      <c r="F7" s="10">
        <f>IF(D7&gt;0, ABS(D7/100), ABS(100/D7))</f>
        <v>4</v>
      </c>
      <c r="G7" s="18">
        <v>133</v>
      </c>
      <c r="H7" s="19">
        <f>G7*(D7/100)+G7</f>
        <v>665</v>
      </c>
      <c r="I7" s="20" t="s">
        <v>34</v>
      </c>
    </row>
    <row r="8" spans="1:9" ht="50" customHeight="1" x14ac:dyDescent="0.2">
      <c r="B8" s="106"/>
      <c r="C8" s="106"/>
      <c r="D8" s="106"/>
    </row>
    <row r="9" spans="1:9" ht="50" customHeight="1" x14ac:dyDescent="0.2">
      <c r="A9" t="s">
        <v>78</v>
      </c>
      <c r="B9" s="100" t="s">
        <v>80</v>
      </c>
      <c r="C9" s="101"/>
      <c r="D9" s="102">
        <v>300</v>
      </c>
      <c r="E9" s="9">
        <f>IF(D9&lt;0,ABS(D9)/(ABS(D9)+100), 100/ (D9 +100 ))</f>
        <v>0.25</v>
      </c>
      <c r="F9" s="10">
        <f>IF(D9&gt;0, ABS(D9/100), ABS(100/D9))</f>
        <v>3</v>
      </c>
      <c r="G9" s="8">
        <v>36</v>
      </c>
      <c r="H9" s="11">
        <f>G9*(D9/100)+G9</f>
        <v>144</v>
      </c>
      <c r="I9" s="12" t="s">
        <v>34</v>
      </c>
    </row>
    <row r="10" spans="1:9" ht="50" customHeight="1" x14ac:dyDescent="0.2">
      <c r="B10" s="103" t="s">
        <v>81</v>
      </c>
      <c r="C10" s="104"/>
      <c r="D10" s="105">
        <v>-200</v>
      </c>
      <c r="E10" s="9">
        <f>IF(D10&lt;0,ABS(D10)/(ABS(D10)+100), 100/ (D10 +100 ))</f>
        <v>0.66666666666666663</v>
      </c>
      <c r="F10" s="10">
        <f>IF(D10&gt;0, ABS(D10/100), ABS(100/D10))</f>
        <v>0.5</v>
      </c>
      <c r="G10" s="18">
        <v>62</v>
      </c>
      <c r="H10" s="19">
        <f>IF(I10 = "Winning Bet", G10*F10+G10, IF(I10 = "Losing Bet", -G10, 0))</f>
        <v>93</v>
      </c>
      <c r="I10" s="20" t="s">
        <v>34</v>
      </c>
    </row>
    <row r="13" spans="1:9" ht="16" thickBot="1" x14ac:dyDescent="0.25"/>
    <row r="14" spans="1:9" x14ac:dyDescent="0.2">
      <c r="B14" s="122" t="s">
        <v>84</v>
      </c>
      <c r="C14" s="123"/>
      <c r="D14" s="123"/>
      <c r="E14" s="124"/>
      <c r="G14">
        <f>G10+G9+G7+G6</f>
        <v>731</v>
      </c>
    </row>
    <row r="15" spans="1:9" x14ac:dyDescent="0.2">
      <c r="B15" s="118"/>
      <c r="C15" s="4"/>
      <c r="D15" s="4" t="str">
        <f>B9</f>
        <v>76ers</v>
      </c>
      <c r="E15" s="119" t="str">
        <f>B10</f>
        <v>celtics</v>
      </c>
    </row>
    <row r="16" spans="1:9" x14ac:dyDescent="0.2">
      <c r="B16" s="118" t="str">
        <f>B6</f>
        <v>nuggets</v>
      </c>
      <c r="C16" s="4"/>
      <c r="D16" s="110">
        <f>E6*E9</f>
        <v>0.19444444444444445</v>
      </c>
      <c r="E16" s="125">
        <f>E10*E6</f>
        <v>0.51851851851851849</v>
      </c>
    </row>
    <row r="17" spans="2:8" ht="16" thickBot="1" x14ac:dyDescent="0.25">
      <c r="B17" s="120" t="str">
        <f>B7</f>
        <v>suns</v>
      </c>
      <c r="C17" s="121"/>
      <c r="D17" s="126">
        <f>E7*E9</f>
        <v>0.05</v>
      </c>
      <c r="E17" s="127">
        <f>E7*E10</f>
        <v>0.13333333333333333</v>
      </c>
    </row>
    <row r="19" spans="2:8" hidden="1" x14ac:dyDescent="0.2"/>
    <row r="20" spans="2:8" hidden="1" x14ac:dyDescent="0.2">
      <c r="B20" s="90" t="s">
        <v>75</v>
      </c>
      <c r="C20" s="99"/>
      <c r="D20" s="99"/>
      <c r="E20" s="91"/>
    </row>
    <row r="21" spans="2:8" hidden="1" x14ac:dyDescent="0.2">
      <c r="B21" s="48"/>
      <c r="C21" s="4"/>
      <c r="D21" s="4"/>
      <c r="E21" s="49"/>
      <c r="G21" s="87"/>
      <c r="H21" s="87"/>
    </row>
    <row r="22" spans="2:8" hidden="1" x14ac:dyDescent="0.2">
      <c r="B22" s="48"/>
      <c r="C22" s="4"/>
      <c r="D22" s="4" t="str">
        <f>B9</f>
        <v>76ers</v>
      </c>
      <c r="E22" s="49" t="str">
        <f>B10</f>
        <v>celtics</v>
      </c>
      <c r="G22" s="114"/>
    </row>
    <row r="23" spans="2:8" hidden="1" x14ac:dyDescent="0.2">
      <c r="B23" s="48" t="str">
        <f>B6</f>
        <v>nuggets</v>
      </c>
      <c r="C23" s="4"/>
      <c r="D23" s="54">
        <f>IF(TRUE, G6*F6+G6, -G6) + IF(TRUE, G9*F9+G9, -G9 )</f>
        <v>786.85714285714289</v>
      </c>
      <c r="E23" s="55">
        <f>IF(TRUE, G6*F6+G6, -G6) + IF(TRUE, G10*F10+G10, -G10 )</f>
        <v>735.85714285714289</v>
      </c>
    </row>
    <row r="24" spans="2:8" hidden="1" x14ac:dyDescent="0.2">
      <c r="B24" s="34" t="str">
        <f>B7</f>
        <v>suns</v>
      </c>
      <c r="C24" s="3"/>
      <c r="D24" s="56">
        <f>IF(TRUE, G7*F7+G7, -G7) + IF(TRUE, G9*F9+G9, -G9 )</f>
        <v>809</v>
      </c>
      <c r="E24" s="57">
        <f>IF(TRUE, G7*F7+G7, -G7) + IF(TRUE, G10*F10+G10, -G10 )</f>
        <v>758</v>
      </c>
    </row>
    <row r="25" spans="2:8" hidden="1" x14ac:dyDescent="0.2"/>
    <row r="26" spans="2:8" ht="16" thickBot="1" x14ac:dyDescent="0.25"/>
    <row r="27" spans="2:8" x14ac:dyDescent="0.2">
      <c r="B27" s="115" t="s">
        <v>77</v>
      </c>
      <c r="C27" s="116"/>
      <c r="D27" s="116"/>
      <c r="E27" s="117"/>
    </row>
    <row r="28" spans="2:8" x14ac:dyDescent="0.2">
      <c r="B28" s="118" t="s">
        <v>76</v>
      </c>
      <c r="C28" s="4"/>
      <c r="D28" s="4"/>
      <c r="E28" s="119"/>
    </row>
    <row r="29" spans="2:8" x14ac:dyDescent="0.2">
      <c r="B29" s="118"/>
      <c r="C29" s="4"/>
      <c r="D29" s="130" t="str">
        <f>B9</f>
        <v>76ers</v>
      </c>
      <c r="E29" s="132" t="str">
        <f>B10</f>
        <v>celtics</v>
      </c>
    </row>
    <row r="30" spans="2:8" x14ac:dyDescent="0.2">
      <c r="B30" s="133" t="str">
        <f>B6</f>
        <v>nuggets</v>
      </c>
      <c r="C30" s="4"/>
      <c r="D30" s="128">
        <f>H9+H6-G7-G10-G6-G9</f>
        <v>55.85714285714289</v>
      </c>
      <c r="E30" s="128">
        <f>H10+H6-G7-G9-G6-G10</f>
        <v>4.8571428571428896</v>
      </c>
      <c r="G30" s="129">
        <f>SUM(D30:E31)</f>
        <v>165.71428571428578</v>
      </c>
    </row>
    <row r="31" spans="2:8" ht="16" thickBot="1" x14ac:dyDescent="0.25">
      <c r="B31" s="131" t="str">
        <f>B7</f>
        <v>suns</v>
      </c>
      <c r="C31" s="121"/>
      <c r="D31" s="128">
        <f>H9+H7-G6-G9-G7-G10</f>
        <v>78</v>
      </c>
      <c r="E31" s="128">
        <f>H10+H7-G6-G10-G7-G9</f>
        <v>27</v>
      </c>
    </row>
    <row r="35" spans="1:16" ht="16" thickBot="1" x14ac:dyDescent="0.25">
      <c r="A35" s="37"/>
      <c r="B35" s="97" t="str">
        <f>B7</f>
        <v>suns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</row>
    <row r="36" spans="1:16" x14ac:dyDescent="0.2">
      <c r="A36" s="37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 spans="1:16" x14ac:dyDescent="0.2">
      <c r="A37" s="37"/>
      <c r="B37" s="36"/>
      <c r="C37" s="36"/>
      <c r="D37" s="36"/>
      <c r="E37" s="36"/>
      <c r="F37" s="37"/>
      <c r="G37" s="37"/>
      <c r="H37" s="37" t="str">
        <f>B7</f>
        <v>suns</v>
      </c>
      <c r="I37" s="37"/>
      <c r="J37" s="37"/>
      <c r="K37" s="37"/>
      <c r="L37" s="37"/>
      <c r="M37" s="37"/>
      <c r="N37" s="37"/>
      <c r="O37" s="37"/>
      <c r="P37" s="37"/>
    </row>
    <row r="38" spans="1:16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1:16" s="1" customFormat="1" x14ac:dyDescent="0.2">
      <c r="A39" s="37"/>
      <c r="B39" s="69">
        <f>E31</f>
        <v>27</v>
      </c>
      <c r="C39" s="37"/>
      <c r="D39" s="37">
        <v>1</v>
      </c>
      <c r="E39" s="37">
        <v>2</v>
      </c>
      <c r="F39" s="37">
        <v>3</v>
      </c>
      <c r="G39" s="37">
        <v>4</v>
      </c>
      <c r="H39" s="37">
        <v>5</v>
      </c>
      <c r="I39" s="37">
        <v>6</v>
      </c>
      <c r="J39" s="37">
        <v>7</v>
      </c>
      <c r="K39" s="37">
        <v>8</v>
      </c>
      <c r="L39" s="37">
        <v>9</v>
      </c>
      <c r="M39" s="37">
        <v>10</v>
      </c>
      <c r="N39" s="37">
        <v>11</v>
      </c>
      <c r="O39" s="37">
        <v>12</v>
      </c>
      <c r="P39" s="37">
        <v>13</v>
      </c>
    </row>
    <row r="40" spans="1:16" x14ac:dyDescent="0.2">
      <c r="A40" s="37"/>
      <c r="B40" s="37">
        <v>1</v>
      </c>
      <c r="C40" s="37">
        <f t="dataTable" ref="C40:P52" dt2D="1" dtr="1" r1="G7" r2="G9" ca="1"/>
        <v>-470</v>
      </c>
      <c r="D40" s="44">
        <v>-466</v>
      </c>
      <c r="E40" s="38">
        <v>-462</v>
      </c>
      <c r="F40" s="38">
        <v>-458</v>
      </c>
      <c r="G40" s="38">
        <v>-454</v>
      </c>
      <c r="H40" s="38">
        <v>-450</v>
      </c>
      <c r="I40" s="38">
        <v>-446</v>
      </c>
      <c r="J40" s="38">
        <v>-442</v>
      </c>
      <c r="K40" s="38">
        <v>-438</v>
      </c>
      <c r="L40" s="38">
        <v>-434</v>
      </c>
      <c r="M40" s="38">
        <v>-430</v>
      </c>
      <c r="N40" s="38">
        <v>-426</v>
      </c>
      <c r="O40" s="38">
        <v>-422</v>
      </c>
      <c r="P40" s="12">
        <v>-418</v>
      </c>
    </row>
    <row r="41" spans="1:16" x14ac:dyDescent="0.2">
      <c r="A41" s="37"/>
      <c r="B41" s="37">
        <v>2</v>
      </c>
      <c r="C41" s="37">
        <v>-471</v>
      </c>
      <c r="D41" s="45">
        <v>-467</v>
      </c>
      <c r="E41" s="39">
        <v>-463</v>
      </c>
      <c r="F41" s="39">
        <v>-459</v>
      </c>
      <c r="G41" s="39">
        <v>-455</v>
      </c>
      <c r="H41" s="39">
        <v>-451</v>
      </c>
      <c r="I41" s="39">
        <v>-447</v>
      </c>
      <c r="J41" s="39">
        <v>-443</v>
      </c>
      <c r="K41" s="39">
        <v>-439</v>
      </c>
      <c r="L41" s="39">
        <v>-435</v>
      </c>
      <c r="M41" s="39">
        <v>-431</v>
      </c>
      <c r="N41" s="39">
        <v>-427</v>
      </c>
      <c r="O41" s="39">
        <v>-423</v>
      </c>
      <c r="P41" s="46">
        <v>-419</v>
      </c>
    </row>
    <row r="42" spans="1:16" x14ac:dyDescent="0.2">
      <c r="A42" s="37"/>
      <c r="B42" s="37">
        <v>3</v>
      </c>
      <c r="C42" s="37">
        <v>-472</v>
      </c>
      <c r="D42" s="45">
        <v>-468</v>
      </c>
      <c r="E42" s="39">
        <v>-464</v>
      </c>
      <c r="F42" s="39">
        <v>-460</v>
      </c>
      <c r="G42" s="39">
        <v>-456</v>
      </c>
      <c r="H42" s="39">
        <v>-452</v>
      </c>
      <c r="I42" s="39">
        <v>-448</v>
      </c>
      <c r="J42" s="39">
        <v>-444</v>
      </c>
      <c r="K42" s="39">
        <v>-440</v>
      </c>
      <c r="L42" s="39">
        <v>-436</v>
      </c>
      <c r="M42" s="39">
        <v>-432</v>
      </c>
      <c r="N42" s="39">
        <v>-428</v>
      </c>
      <c r="O42" s="39">
        <v>-424</v>
      </c>
      <c r="P42" s="46">
        <v>-420</v>
      </c>
    </row>
    <row r="43" spans="1:16" x14ac:dyDescent="0.2">
      <c r="A43" s="37"/>
      <c r="B43" s="37">
        <v>4</v>
      </c>
      <c r="C43" s="37">
        <v>-473</v>
      </c>
      <c r="D43" s="45">
        <v>-469</v>
      </c>
      <c r="E43" s="39">
        <v>-465</v>
      </c>
      <c r="F43" s="39">
        <v>-461</v>
      </c>
      <c r="G43" s="39">
        <v>-457</v>
      </c>
      <c r="H43" s="39">
        <v>-453</v>
      </c>
      <c r="I43" s="39">
        <v>-449</v>
      </c>
      <c r="J43" s="39">
        <v>-445</v>
      </c>
      <c r="K43" s="39">
        <v>-441</v>
      </c>
      <c r="L43" s="39">
        <v>-437</v>
      </c>
      <c r="M43" s="39">
        <v>-433</v>
      </c>
      <c r="N43" s="39">
        <v>-429</v>
      </c>
      <c r="O43" s="39">
        <v>-425</v>
      </c>
      <c r="P43" s="46">
        <v>-421</v>
      </c>
    </row>
    <row r="44" spans="1:16" x14ac:dyDescent="0.2">
      <c r="A44" s="37"/>
      <c r="B44" s="37">
        <v>5</v>
      </c>
      <c r="C44" s="37">
        <v>-474</v>
      </c>
      <c r="D44" s="45">
        <v>-470</v>
      </c>
      <c r="E44" s="39">
        <v>-466</v>
      </c>
      <c r="F44" s="39">
        <v>-462</v>
      </c>
      <c r="G44" s="39">
        <v>-458</v>
      </c>
      <c r="H44" s="39">
        <v>-454</v>
      </c>
      <c r="I44" s="39">
        <v>-450</v>
      </c>
      <c r="J44" s="39">
        <v>-446</v>
      </c>
      <c r="K44" s="39">
        <v>-442</v>
      </c>
      <c r="L44" s="39">
        <v>-438</v>
      </c>
      <c r="M44" s="39">
        <v>-434</v>
      </c>
      <c r="N44" s="39">
        <v>-430</v>
      </c>
      <c r="O44" s="39">
        <v>-426</v>
      </c>
      <c r="P44" s="46">
        <v>-422</v>
      </c>
    </row>
    <row r="45" spans="1:16" x14ac:dyDescent="0.2">
      <c r="A45" s="37"/>
      <c r="B45" s="37">
        <v>6</v>
      </c>
      <c r="C45" s="37">
        <v>-475</v>
      </c>
      <c r="D45" s="45">
        <v>-471</v>
      </c>
      <c r="E45" s="39">
        <v>-467</v>
      </c>
      <c r="F45" s="39">
        <v>-463</v>
      </c>
      <c r="G45" s="39">
        <v>-459</v>
      </c>
      <c r="H45" s="39">
        <v>-455</v>
      </c>
      <c r="I45" s="39">
        <v>-451</v>
      </c>
      <c r="J45" s="39">
        <v>-447</v>
      </c>
      <c r="K45" s="39">
        <v>-443</v>
      </c>
      <c r="L45" s="39">
        <v>-439</v>
      </c>
      <c r="M45" s="39">
        <v>-435</v>
      </c>
      <c r="N45" s="39">
        <v>-431</v>
      </c>
      <c r="O45" s="39">
        <v>-427</v>
      </c>
      <c r="P45" s="46">
        <v>-423</v>
      </c>
    </row>
    <row r="46" spans="1:16" x14ac:dyDescent="0.2">
      <c r="A46" s="37" t="str">
        <f>B9</f>
        <v>76ers</v>
      </c>
      <c r="B46" s="37">
        <v>7</v>
      </c>
      <c r="C46" s="37">
        <v>-476</v>
      </c>
      <c r="D46" s="45">
        <v>-472</v>
      </c>
      <c r="E46" s="39">
        <v>-468</v>
      </c>
      <c r="F46" s="39">
        <v>-464</v>
      </c>
      <c r="G46" s="39">
        <v>-460</v>
      </c>
      <c r="H46" s="39">
        <v>-456</v>
      </c>
      <c r="I46" s="39">
        <v>-452</v>
      </c>
      <c r="J46" s="39">
        <v>-448</v>
      </c>
      <c r="K46" s="39">
        <v>-444</v>
      </c>
      <c r="L46" s="39">
        <v>-440</v>
      </c>
      <c r="M46" s="39">
        <v>-436</v>
      </c>
      <c r="N46" s="39">
        <v>-432</v>
      </c>
      <c r="O46" s="39">
        <v>-428</v>
      </c>
      <c r="P46" s="46">
        <v>-424</v>
      </c>
    </row>
    <row r="47" spans="1:16" x14ac:dyDescent="0.2">
      <c r="A47" s="37"/>
      <c r="B47" s="37">
        <v>8</v>
      </c>
      <c r="C47" s="37">
        <v>-477</v>
      </c>
      <c r="D47" s="45">
        <v>-473</v>
      </c>
      <c r="E47" s="39">
        <v>-469</v>
      </c>
      <c r="F47" s="39">
        <v>-465</v>
      </c>
      <c r="G47" s="39">
        <v>-461</v>
      </c>
      <c r="H47" s="39">
        <v>-457</v>
      </c>
      <c r="I47" s="39">
        <v>-453</v>
      </c>
      <c r="J47" s="39">
        <v>-449</v>
      </c>
      <c r="K47" s="39">
        <v>-445</v>
      </c>
      <c r="L47" s="39">
        <v>-441</v>
      </c>
      <c r="M47" s="39">
        <v>-437</v>
      </c>
      <c r="N47" s="39">
        <v>-433</v>
      </c>
      <c r="O47" s="39">
        <v>-429</v>
      </c>
      <c r="P47" s="46">
        <v>-425</v>
      </c>
    </row>
    <row r="48" spans="1:16" x14ac:dyDescent="0.2">
      <c r="A48" s="37"/>
      <c r="B48" s="37">
        <v>9</v>
      </c>
      <c r="C48" s="37">
        <v>-478</v>
      </c>
      <c r="D48" s="45">
        <v>-474</v>
      </c>
      <c r="E48" s="39">
        <v>-470</v>
      </c>
      <c r="F48" s="39">
        <v>-466</v>
      </c>
      <c r="G48" s="39">
        <v>-462</v>
      </c>
      <c r="H48" s="39">
        <v>-458</v>
      </c>
      <c r="I48" s="39">
        <v>-454</v>
      </c>
      <c r="J48" s="39">
        <v>-450</v>
      </c>
      <c r="K48" s="39">
        <v>-446</v>
      </c>
      <c r="L48" s="39">
        <v>-442</v>
      </c>
      <c r="M48" s="39">
        <v>-438</v>
      </c>
      <c r="N48" s="39">
        <v>-434</v>
      </c>
      <c r="O48" s="39">
        <v>-430</v>
      </c>
      <c r="P48" s="46">
        <v>-426</v>
      </c>
    </row>
    <row r="49" spans="1:16" x14ac:dyDescent="0.2">
      <c r="A49" s="37"/>
      <c r="B49" s="37">
        <v>10</v>
      </c>
      <c r="C49" s="37">
        <v>-479</v>
      </c>
      <c r="D49" s="45">
        <v>-475</v>
      </c>
      <c r="E49" s="39">
        <v>-471</v>
      </c>
      <c r="F49" s="39">
        <v>-467</v>
      </c>
      <c r="G49" s="39">
        <v>-463</v>
      </c>
      <c r="H49" s="39">
        <v>-459</v>
      </c>
      <c r="I49" s="39">
        <v>-455</v>
      </c>
      <c r="J49" s="39">
        <v>-451</v>
      </c>
      <c r="K49" s="39">
        <v>-447</v>
      </c>
      <c r="L49" s="39">
        <v>-443</v>
      </c>
      <c r="M49" s="39">
        <v>-439</v>
      </c>
      <c r="N49" s="39">
        <v>-435</v>
      </c>
      <c r="O49" s="39">
        <v>-431</v>
      </c>
      <c r="P49" s="46">
        <v>-427</v>
      </c>
    </row>
    <row r="50" spans="1:16" x14ac:dyDescent="0.2">
      <c r="A50" s="37"/>
      <c r="B50" s="37">
        <v>11</v>
      </c>
      <c r="C50" s="37">
        <v>-480</v>
      </c>
      <c r="D50" s="45">
        <v>-476</v>
      </c>
      <c r="E50" s="39">
        <v>-472</v>
      </c>
      <c r="F50" s="39">
        <v>-468</v>
      </c>
      <c r="G50" s="39">
        <v>-464</v>
      </c>
      <c r="H50" s="39">
        <v>-460</v>
      </c>
      <c r="I50" s="39">
        <v>-456</v>
      </c>
      <c r="J50" s="39">
        <v>-452</v>
      </c>
      <c r="K50" s="39">
        <v>-448</v>
      </c>
      <c r="L50" s="39">
        <v>-444</v>
      </c>
      <c r="M50" s="39">
        <v>-440</v>
      </c>
      <c r="N50" s="39">
        <v>-436</v>
      </c>
      <c r="O50" s="39">
        <v>-432</v>
      </c>
      <c r="P50" s="46">
        <v>-428</v>
      </c>
    </row>
    <row r="51" spans="1:16" x14ac:dyDescent="0.2">
      <c r="A51" s="37"/>
      <c r="B51" s="37">
        <v>12</v>
      </c>
      <c r="C51" s="37">
        <v>-481</v>
      </c>
      <c r="D51" s="45">
        <v>-477</v>
      </c>
      <c r="E51" s="39">
        <v>-473</v>
      </c>
      <c r="F51" s="39">
        <v>-469</v>
      </c>
      <c r="G51" s="39">
        <v>-465</v>
      </c>
      <c r="H51" s="39">
        <v>-461</v>
      </c>
      <c r="I51" s="39">
        <v>-457</v>
      </c>
      <c r="J51" s="39">
        <v>-453</v>
      </c>
      <c r="K51" s="39">
        <v>-449</v>
      </c>
      <c r="L51" s="39">
        <v>-445</v>
      </c>
      <c r="M51" s="39">
        <v>-441</v>
      </c>
      <c r="N51" s="39">
        <v>-437</v>
      </c>
      <c r="O51" s="39">
        <v>-433</v>
      </c>
      <c r="P51" s="46">
        <v>-429</v>
      </c>
    </row>
    <row r="52" spans="1:16" x14ac:dyDescent="0.2">
      <c r="A52" s="37"/>
      <c r="B52" s="37">
        <v>13</v>
      </c>
      <c r="C52" s="37">
        <v>-482</v>
      </c>
      <c r="D52" s="47">
        <v>-478</v>
      </c>
      <c r="E52" s="40">
        <v>-474</v>
      </c>
      <c r="F52" s="40">
        <v>-470</v>
      </c>
      <c r="G52" s="40">
        <v>-466</v>
      </c>
      <c r="H52" s="40">
        <v>-462</v>
      </c>
      <c r="I52" s="40">
        <v>-458</v>
      </c>
      <c r="J52" s="40">
        <v>-454</v>
      </c>
      <c r="K52" s="40">
        <v>-450</v>
      </c>
      <c r="L52" s="40">
        <v>-446</v>
      </c>
      <c r="M52" s="40">
        <v>-442</v>
      </c>
      <c r="N52" s="40">
        <v>-438</v>
      </c>
      <c r="O52" s="40">
        <v>-434</v>
      </c>
      <c r="P52" s="20">
        <v>-430</v>
      </c>
    </row>
    <row r="53" spans="1:16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</row>
    <row r="54" spans="1: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6" thickBot="1" x14ac:dyDescent="0.25">
      <c r="A56" s="37"/>
      <c r="B56" s="97" t="str">
        <f>B9</f>
        <v>76ers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</row>
    <row r="57" spans="1:16" x14ac:dyDescent="0.2">
      <c r="A57" s="37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x14ac:dyDescent="0.2">
      <c r="A58" s="98"/>
      <c r="B58" s="98"/>
      <c r="C58" s="41"/>
      <c r="D58" s="41"/>
      <c r="E58" s="41"/>
      <c r="F58" s="41"/>
      <c r="G58" s="41"/>
      <c r="H58" s="43" t="str">
        <f>B7</f>
        <v>suns</v>
      </c>
      <c r="I58" s="41"/>
      <c r="J58" s="41"/>
      <c r="K58" s="41"/>
      <c r="L58" s="41"/>
      <c r="M58" s="41"/>
      <c r="N58" s="41"/>
      <c r="O58" s="41"/>
      <c r="P58" s="41"/>
    </row>
    <row r="59" spans="1:16" x14ac:dyDescent="0.2">
      <c r="A59" s="60"/>
      <c r="B59" s="78"/>
      <c r="C59" s="36"/>
      <c r="D59" s="36"/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16" x14ac:dyDescent="0.2">
      <c r="A60" s="60"/>
      <c r="B60" s="69">
        <f>D30</f>
        <v>55.85714285714289</v>
      </c>
      <c r="C60" s="37"/>
      <c r="D60" s="37">
        <v>1</v>
      </c>
      <c r="E60" s="37">
        <v>2</v>
      </c>
      <c r="F60" s="37">
        <v>3</v>
      </c>
      <c r="G60" s="37">
        <v>4</v>
      </c>
      <c r="H60" s="37">
        <v>5</v>
      </c>
      <c r="I60" s="37">
        <v>6</v>
      </c>
      <c r="J60" s="37">
        <v>7</v>
      </c>
      <c r="K60" s="37">
        <v>8</v>
      </c>
      <c r="L60" s="37">
        <v>9</v>
      </c>
      <c r="M60" s="37">
        <v>10</v>
      </c>
      <c r="N60" s="37">
        <v>11</v>
      </c>
      <c r="O60" s="37">
        <v>12</v>
      </c>
      <c r="P60" s="37">
        <v>13</v>
      </c>
    </row>
    <row r="61" spans="1:16" x14ac:dyDescent="0.2">
      <c r="A61" s="60"/>
      <c r="B61" s="37">
        <v>1</v>
      </c>
      <c r="C61" s="37">
        <f t="dataTable" ref="C61:P73" dt2D="1" dtr="1" r1="G7" r2="G9"/>
        <v>83.85714285714289</v>
      </c>
      <c r="D61" s="44">
        <v>82.85714285714289</v>
      </c>
      <c r="E61" s="38">
        <v>81.85714285714289</v>
      </c>
      <c r="F61" s="38">
        <v>80.85714285714289</v>
      </c>
      <c r="G61" s="38">
        <v>79.85714285714289</v>
      </c>
      <c r="H61" s="38">
        <v>78.85714285714289</v>
      </c>
      <c r="I61" s="38">
        <v>77.85714285714289</v>
      </c>
      <c r="J61" s="38">
        <v>76.85714285714289</v>
      </c>
      <c r="K61" s="38">
        <v>75.85714285714289</v>
      </c>
      <c r="L61" s="38">
        <v>74.85714285714289</v>
      </c>
      <c r="M61" s="38">
        <v>73.85714285714289</v>
      </c>
      <c r="N61" s="38">
        <v>72.85714285714289</v>
      </c>
      <c r="O61" s="38">
        <v>71.85714285714289</v>
      </c>
      <c r="P61" s="12">
        <v>70.85714285714289</v>
      </c>
    </row>
    <row r="62" spans="1:16" x14ac:dyDescent="0.2">
      <c r="A62" s="60"/>
      <c r="B62" s="37">
        <v>2</v>
      </c>
      <c r="C62" s="37">
        <v>86.85714285714289</v>
      </c>
      <c r="D62" s="45">
        <v>85.85714285714289</v>
      </c>
      <c r="E62" s="39">
        <v>84.85714285714289</v>
      </c>
      <c r="F62" s="39">
        <v>83.85714285714289</v>
      </c>
      <c r="G62" s="39">
        <v>82.85714285714289</v>
      </c>
      <c r="H62" s="39">
        <v>81.85714285714289</v>
      </c>
      <c r="I62" s="39">
        <v>80.85714285714289</v>
      </c>
      <c r="J62" s="39">
        <v>79.85714285714289</v>
      </c>
      <c r="K62" s="39">
        <v>78.85714285714289</v>
      </c>
      <c r="L62" s="39">
        <v>77.85714285714289</v>
      </c>
      <c r="M62" s="39">
        <v>76.85714285714289</v>
      </c>
      <c r="N62" s="39">
        <v>75.85714285714289</v>
      </c>
      <c r="O62" s="39">
        <v>74.85714285714289</v>
      </c>
      <c r="P62" s="46">
        <v>73.85714285714289</v>
      </c>
    </row>
    <row r="63" spans="1:16" x14ac:dyDescent="0.2">
      <c r="A63" s="60"/>
      <c r="B63" s="37">
        <v>3</v>
      </c>
      <c r="C63" s="37">
        <v>89.85714285714289</v>
      </c>
      <c r="D63" s="45">
        <v>88.85714285714289</v>
      </c>
      <c r="E63" s="39">
        <v>87.85714285714289</v>
      </c>
      <c r="F63" s="39">
        <v>86.85714285714289</v>
      </c>
      <c r="G63" s="39">
        <v>85.85714285714289</v>
      </c>
      <c r="H63" s="39">
        <v>84.85714285714289</v>
      </c>
      <c r="I63" s="39">
        <v>83.85714285714289</v>
      </c>
      <c r="J63" s="39">
        <v>82.85714285714289</v>
      </c>
      <c r="K63" s="39">
        <v>81.85714285714289</v>
      </c>
      <c r="L63" s="39">
        <v>80.85714285714289</v>
      </c>
      <c r="M63" s="39">
        <v>79.85714285714289</v>
      </c>
      <c r="N63" s="39">
        <v>78.85714285714289</v>
      </c>
      <c r="O63" s="39">
        <v>77.85714285714289</v>
      </c>
      <c r="P63" s="46">
        <v>76.85714285714289</v>
      </c>
    </row>
    <row r="64" spans="1:16" x14ac:dyDescent="0.2">
      <c r="A64" s="60"/>
      <c r="B64" s="37">
        <v>4</v>
      </c>
      <c r="C64" s="37">
        <v>92.85714285714289</v>
      </c>
      <c r="D64" s="45">
        <v>91.85714285714289</v>
      </c>
      <c r="E64" s="39">
        <v>90.85714285714289</v>
      </c>
      <c r="F64" s="39">
        <v>89.85714285714289</v>
      </c>
      <c r="G64" s="39">
        <v>88.85714285714289</v>
      </c>
      <c r="H64" s="39">
        <v>87.85714285714289</v>
      </c>
      <c r="I64" s="39">
        <v>86.85714285714289</v>
      </c>
      <c r="J64" s="39">
        <v>85.85714285714289</v>
      </c>
      <c r="K64" s="39">
        <v>84.85714285714289</v>
      </c>
      <c r="L64" s="39">
        <v>83.85714285714289</v>
      </c>
      <c r="M64" s="39">
        <v>82.85714285714289</v>
      </c>
      <c r="N64" s="39">
        <v>81.85714285714289</v>
      </c>
      <c r="O64" s="39">
        <v>80.85714285714289</v>
      </c>
      <c r="P64" s="46">
        <v>79.85714285714289</v>
      </c>
    </row>
    <row r="65" spans="1:16" x14ac:dyDescent="0.2">
      <c r="A65" s="37"/>
      <c r="B65" s="37">
        <v>5</v>
      </c>
      <c r="C65" s="37">
        <v>95.85714285714289</v>
      </c>
      <c r="D65" s="45">
        <v>94.85714285714289</v>
      </c>
      <c r="E65" s="39">
        <v>93.85714285714289</v>
      </c>
      <c r="F65" s="39">
        <v>92.85714285714289</v>
      </c>
      <c r="G65" s="39">
        <v>91.85714285714289</v>
      </c>
      <c r="H65" s="39">
        <v>90.85714285714289</v>
      </c>
      <c r="I65" s="39">
        <v>89.85714285714289</v>
      </c>
      <c r="J65" s="39">
        <v>88.85714285714289</v>
      </c>
      <c r="K65" s="39">
        <v>87.85714285714289</v>
      </c>
      <c r="L65" s="39">
        <v>86.85714285714289</v>
      </c>
      <c r="M65" s="39">
        <v>85.85714285714289</v>
      </c>
      <c r="N65" s="39">
        <v>84.85714285714289</v>
      </c>
      <c r="O65" s="39">
        <v>83.85714285714289</v>
      </c>
      <c r="P65" s="46">
        <v>82.85714285714289</v>
      </c>
    </row>
    <row r="66" spans="1:16" x14ac:dyDescent="0.2">
      <c r="A66" s="37"/>
      <c r="B66" s="37">
        <v>6</v>
      </c>
      <c r="C66" s="37">
        <v>98.85714285714289</v>
      </c>
      <c r="D66" s="45">
        <v>97.85714285714289</v>
      </c>
      <c r="E66" s="39">
        <v>96.85714285714289</v>
      </c>
      <c r="F66" s="39">
        <v>95.85714285714289</v>
      </c>
      <c r="G66" s="39">
        <v>94.85714285714289</v>
      </c>
      <c r="H66" s="39">
        <v>93.85714285714289</v>
      </c>
      <c r="I66" s="39">
        <v>92.85714285714289</v>
      </c>
      <c r="J66" s="39">
        <v>91.85714285714289</v>
      </c>
      <c r="K66" s="39">
        <v>90.85714285714289</v>
      </c>
      <c r="L66" s="39">
        <v>89.85714285714289</v>
      </c>
      <c r="M66" s="39">
        <v>88.85714285714289</v>
      </c>
      <c r="N66" s="39">
        <v>87.85714285714289</v>
      </c>
      <c r="O66" s="39">
        <v>86.85714285714289</v>
      </c>
      <c r="P66" s="46">
        <v>85.85714285714289</v>
      </c>
    </row>
    <row r="67" spans="1:16" x14ac:dyDescent="0.2">
      <c r="A67" s="37" t="str">
        <f>B9</f>
        <v>76ers</v>
      </c>
      <c r="B67" s="37">
        <v>7</v>
      </c>
      <c r="C67" s="37">
        <v>101.85714285714289</v>
      </c>
      <c r="D67" s="45">
        <v>100.85714285714289</v>
      </c>
      <c r="E67" s="39">
        <v>99.85714285714289</v>
      </c>
      <c r="F67" s="39">
        <v>98.85714285714289</v>
      </c>
      <c r="G67" s="39">
        <v>97.85714285714289</v>
      </c>
      <c r="H67" s="39">
        <v>96.85714285714289</v>
      </c>
      <c r="I67" s="39">
        <v>95.85714285714289</v>
      </c>
      <c r="J67" s="39">
        <v>94.85714285714289</v>
      </c>
      <c r="K67" s="39">
        <v>93.85714285714289</v>
      </c>
      <c r="L67" s="39">
        <v>92.85714285714289</v>
      </c>
      <c r="M67" s="39">
        <v>91.85714285714289</v>
      </c>
      <c r="N67" s="39">
        <v>90.85714285714289</v>
      </c>
      <c r="O67" s="39">
        <v>89.85714285714289</v>
      </c>
      <c r="P67" s="46">
        <v>88.85714285714289</v>
      </c>
    </row>
    <row r="68" spans="1:16" x14ac:dyDescent="0.2">
      <c r="A68" s="37"/>
      <c r="B68" s="37">
        <v>8</v>
      </c>
      <c r="C68" s="37">
        <v>104.85714285714289</v>
      </c>
      <c r="D68" s="45">
        <v>103.85714285714289</v>
      </c>
      <c r="E68" s="39">
        <v>102.85714285714289</v>
      </c>
      <c r="F68" s="39">
        <v>101.85714285714289</v>
      </c>
      <c r="G68" s="39">
        <v>100.85714285714289</v>
      </c>
      <c r="H68" s="39">
        <v>99.85714285714289</v>
      </c>
      <c r="I68" s="39">
        <v>98.85714285714289</v>
      </c>
      <c r="J68" s="39">
        <v>97.85714285714289</v>
      </c>
      <c r="K68" s="39">
        <v>96.85714285714289</v>
      </c>
      <c r="L68" s="39">
        <v>95.85714285714289</v>
      </c>
      <c r="M68" s="39">
        <v>94.85714285714289</v>
      </c>
      <c r="N68" s="39">
        <v>93.85714285714289</v>
      </c>
      <c r="O68" s="39">
        <v>92.85714285714289</v>
      </c>
      <c r="P68" s="46">
        <v>91.85714285714289</v>
      </c>
    </row>
    <row r="69" spans="1:16" x14ac:dyDescent="0.2">
      <c r="A69" s="37"/>
      <c r="B69" s="37">
        <v>9</v>
      </c>
      <c r="C69" s="37">
        <v>107.85714285714289</v>
      </c>
      <c r="D69" s="45">
        <v>106.85714285714289</v>
      </c>
      <c r="E69" s="39">
        <v>105.85714285714289</v>
      </c>
      <c r="F69" s="39">
        <v>104.85714285714289</v>
      </c>
      <c r="G69" s="39">
        <v>103.85714285714289</v>
      </c>
      <c r="H69" s="39">
        <v>102.85714285714289</v>
      </c>
      <c r="I69" s="39">
        <v>101.85714285714289</v>
      </c>
      <c r="J69" s="39">
        <v>100.85714285714289</v>
      </c>
      <c r="K69" s="39">
        <v>99.85714285714289</v>
      </c>
      <c r="L69" s="39">
        <v>98.85714285714289</v>
      </c>
      <c r="M69" s="39">
        <v>97.85714285714289</v>
      </c>
      <c r="N69" s="39">
        <v>96.85714285714289</v>
      </c>
      <c r="O69" s="39">
        <v>95.85714285714289</v>
      </c>
      <c r="P69" s="46">
        <v>94.85714285714289</v>
      </c>
    </row>
    <row r="70" spans="1:16" x14ac:dyDescent="0.2">
      <c r="A70" s="37"/>
      <c r="B70" s="37">
        <v>10</v>
      </c>
      <c r="C70" s="37">
        <v>110.85714285714289</v>
      </c>
      <c r="D70" s="45">
        <v>109.85714285714289</v>
      </c>
      <c r="E70" s="39">
        <v>108.85714285714289</v>
      </c>
      <c r="F70" s="39">
        <v>107.85714285714289</v>
      </c>
      <c r="G70" s="39">
        <v>106.85714285714289</v>
      </c>
      <c r="H70" s="39">
        <v>105.85714285714289</v>
      </c>
      <c r="I70" s="39">
        <v>104.85714285714289</v>
      </c>
      <c r="J70" s="39">
        <v>103.85714285714289</v>
      </c>
      <c r="K70" s="39">
        <v>102.85714285714289</v>
      </c>
      <c r="L70" s="39">
        <v>101.85714285714289</v>
      </c>
      <c r="M70" s="39">
        <v>100.85714285714289</v>
      </c>
      <c r="N70" s="39">
        <v>99.85714285714289</v>
      </c>
      <c r="O70" s="39">
        <v>98.85714285714289</v>
      </c>
      <c r="P70" s="46">
        <v>97.85714285714289</v>
      </c>
    </row>
    <row r="71" spans="1:16" x14ac:dyDescent="0.2">
      <c r="A71" s="37"/>
      <c r="B71" s="37">
        <v>11</v>
      </c>
      <c r="C71" s="37">
        <v>113.85714285714289</v>
      </c>
      <c r="D71" s="45">
        <v>112.85714285714289</v>
      </c>
      <c r="E71" s="39">
        <v>111.85714285714289</v>
      </c>
      <c r="F71" s="39">
        <v>110.85714285714289</v>
      </c>
      <c r="G71" s="39">
        <v>109.85714285714289</v>
      </c>
      <c r="H71" s="39">
        <v>108.85714285714289</v>
      </c>
      <c r="I71" s="39">
        <v>107.85714285714289</v>
      </c>
      <c r="J71" s="39">
        <v>106.85714285714289</v>
      </c>
      <c r="K71" s="39">
        <v>105.85714285714289</v>
      </c>
      <c r="L71" s="39">
        <v>104.85714285714289</v>
      </c>
      <c r="M71" s="39">
        <v>103.85714285714289</v>
      </c>
      <c r="N71" s="39">
        <v>102.85714285714289</v>
      </c>
      <c r="O71" s="39">
        <v>101.85714285714289</v>
      </c>
      <c r="P71" s="46">
        <v>100.85714285714289</v>
      </c>
    </row>
    <row r="72" spans="1:16" x14ac:dyDescent="0.2">
      <c r="A72" s="37"/>
      <c r="B72" s="37">
        <v>12</v>
      </c>
      <c r="C72" s="37">
        <v>116.85714285714289</v>
      </c>
      <c r="D72" s="45">
        <v>115.85714285714289</v>
      </c>
      <c r="E72" s="39">
        <v>114.85714285714289</v>
      </c>
      <c r="F72" s="39">
        <v>113.85714285714289</v>
      </c>
      <c r="G72" s="39">
        <v>112.85714285714289</v>
      </c>
      <c r="H72" s="39">
        <v>111.85714285714289</v>
      </c>
      <c r="I72" s="39">
        <v>110.85714285714289</v>
      </c>
      <c r="J72" s="39">
        <v>109.85714285714289</v>
      </c>
      <c r="K72" s="39">
        <v>108.85714285714289</v>
      </c>
      <c r="L72" s="39">
        <v>107.85714285714289</v>
      </c>
      <c r="M72" s="39">
        <v>106.85714285714289</v>
      </c>
      <c r="N72" s="39">
        <v>105.85714285714289</v>
      </c>
      <c r="O72" s="39">
        <v>104.85714285714289</v>
      </c>
      <c r="P72" s="46">
        <v>103.85714285714289</v>
      </c>
    </row>
    <row r="73" spans="1:16" x14ac:dyDescent="0.2">
      <c r="A73" s="37"/>
      <c r="B73" s="37">
        <v>13</v>
      </c>
      <c r="C73" s="37">
        <v>119.85714285714289</v>
      </c>
      <c r="D73" s="47">
        <v>118.85714285714289</v>
      </c>
      <c r="E73" s="40">
        <v>117.85714285714289</v>
      </c>
      <c r="F73" s="40">
        <v>116.85714285714289</v>
      </c>
      <c r="G73" s="40">
        <v>115.85714285714289</v>
      </c>
      <c r="H73" s="40">
        <v>114.85714285714289</v>
      </c>
      <c r="I73" s="40">
        <v>113.85714285714289</v>
      </c>
      <c r="J73" s="40">
        <v>112.85714285714289</v>
      </c>
      <c r="K73" s="40">
        <v>111.85714285714289</v>
      </c>
      <c r="L73" s="40">
        <v>110.85714285714289</v>
      </c>
      <c r="M73" s="40">
        <v>109.85714285714289</v>
      </c>
      <c r="N73" s="40">
        <v>108.85714285714289</v>
      </c>
      <c r="O73" s="40">
        <v>107.85714285714289</v>
      </c>
      <c r="P73" s="20">
        <v>106.85714285714289</v>
      </c>
    </row>
    <row r="74" spans="1:16" x14ac:dyDescent="0.2">
      <c r="A74" s="37"/>
      <c r="B74" s="37"/>
      <c r="C74" s="37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 x14ac:dyDescent="0.2">
      <c r="A75" s="37"/>
      <c r="B75" s="37"/>
      <c r="C75" s="37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16" ht="16" thickBot="1" x14ac:dyDescent="0.25">
      <c r="A76" s="37"/>
      <c r="B76" s="97" t="s">
        <v>79</v>
      </c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</row>
    <row r="77" spans="1:16" x14ac:dyDescent="0.2">
      <c r="A77" s="37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x14ac:dyDescent="0.2">
      <c r="A78" s="98"/>
      <c r="B78" s="98"/>
      <c r="C78" s="41"/>
      <c r="D78" s="41"/>
      <c r="E78" s="41"/>
      <c r="F78" s="41"/>
      <c r="G78" s="41"/>
      <c r="H78" s="43" t="str">
        <f>B7</f>
        <v>suns</v>
      </c>
      <c r="I78" s="41"/>
      <c r="J78" s="41"/>
      <c r="K78" s="41"/>
      <c r="L78" s="41"/>
      <c r="M78" s="41"/>
      <c r="N78" s="41"/>
      <c r="O78" s="41"/>
      <c r="P78" s="41"/>
    </row>
    <row r="79" spans="1:16" x14ac:dyDescent="0.2">
      <c r="A79" s="60"/>
      <c r="B79" s="78"/>
      <c r="C79" s="36"/>
      <c r="D79" s="36"/>
      <c r="E79" s="36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</row>
    <row r="80" spans="1:16" x14ac:dyDescent="0.2">
      <c r="A80" s="60"/>
      <c r="B80" s="37"/>
      <c r="D80" s="37">
        <v>1</v>
      </c>
      <c r="E80" s="37">
        <v>2</v>
      </c>
      <c r="F80" s="37">
        <v>3</v>
      </c>
      <c r="G80" s="37">
        <v>4</v>
      </c>
      <c r="H80" s="37">
        <v>5</v>
      </c>
      <c r="I80" s="37">
        <v>6</v>
      </c>
      <c r="J80" s="37">
        <v>7</v>
      </c>
      <c r="K80" s="37">
        <v>8</v>
      </c>
      <c r="L80" s="37">
        <v>9</v>
      </c>
      <c r="M80" s="37">
        <v>10</v>
      </c>
      <c r="N80" s="37">
        <v>11</v>
      </c>
      <c r="O80" s="37">
        <v>12</v>
      </c>
      <c r="P80" s="37">
        <v>13</v>
      </c>
    </row>
    <row r="81" spans="1:16" x14ac:dyDescent="0.2">
      <c r="A81" s="60"/>
      <c r="B81" s="37">
        <v>1</v>
      </c>
      <c r="D81" s="79" t="str">
        <f>IF(D61&gt;0, IF(D40&gt;0, IF(D61&gt;D40, $A$67, $H$37), "X"), "X")</f>
        <v>X</v>
      </c>
      <c r="E81" s="80" t="str">
        <f t="shared" ref="E81:P81" si="0">IF(E61&gt;0, IF(E40&gt;0, IF(E61&gt;E40, $A$67, $H$37), "X"), "X")</f>
        <v>X</v>
      </c>
      <c r="F81" s="80" t="str">
        <f t="shared" si="0"/>
        <v>X</v>
      </c>
      <c r="G81" s="80" t="str">
        <f t="shared" si="0"/>
        <v>X</v>
      </c>
      <c r="H81" s="80" t="str">
        <f t="shared" si="0"/>
        <v>X</v>
      </c>
      <c r="I81" s="80" t="str">
        <f t="shared" si="0"/>
        <v>X</v>
      </c>
      <c r="J81" s="80" t="str">
        <f t="shared" si="0"/>
        <v>X</v>
      </c>
      <c r="K81" s="80" t="str">
        <f t="shared" si="0"/>
        <v>X</v>
      </c>
      <c r="L81" s="80" t="str">
        <f t="shared" si="0"/>
        <v>X</v>
      </c>
      <c r="M81" s="80" t="str">
        <f t="shared" si="0"/>
        <v>X</v>
      </c>
      <c r="N81" s="80" t="str">
        <f t="shared" si="0"/>
        <v>X</v>
      </c>
      <c r="O81" s="80" t="str">
        <f t="shared" si="0"/>
        <v>X</v>
      </c>
      <c r="P81" s="81" t="str">
        <f t="shared" si="0"/>
        <v>X</v>
      </c>
    </row>
    <row r="82" spans="1:16" x14ac:dyDescent="0.2">
      <c r="A82" s="60"/>
      <c r="B82" s="37">
        <v>2</v>
      </c>
      <c r="D82" s="82" t="str">
        <f t="shared" ref="D82:P93" si="1">IF(D62&gt;0, IF(D41&gt;0, IF(D62&gt;D41, $A$67, $H$37), "X"), "X")</f>
        <v>X</v>
      </c>
      <c r="E82" s="39" t="str">
        <f t="shared" si="1"/>
        <v>X</v>
      </c>
      <c r="F82" s="39" t="str">
        <f t="shared" si="1"/>
        <v>X</v>
      </c>
      <c r="G82" s="39" t="str">
        <f t="shared" si="1"/>
        <v>X</v>
      </c>
      <c r="H82" s="39" t="str">
        <f t="shared" si="1"/>
        <v>X</v>
      </c>
      <c r="I82" s="39" t="str">
        <f t="shared" si="1"/>
        <v>X</v>
      </c>
      <c r="J82" s="39" t="str">
        <f t="shared" si="1"/>
        <v>X</v>
      </c>
      <c r="K82" s="39" t="str">
        <f t="shared" si="1"/>
        <v>X</v>
      </c>
      <c r="L82" s="39" t="str">
        <f t="shared" si="1"/>
        <v>X</v>
      </c>
      <c r="M82" s="39" t="str">
        <f t="shared" si="1"/>
        <v>X</v>
      </c>
      <c r="N82" s="39" t="str">
        <f t="shared" si="1"/>
        <v>X</v>
      </c>
      <c r="O82" s="39" t="str">
        <f t="shared" si="1"/>
        <v>X</v>
      </c>
      <c r="P82" s="83" t="str">
        <f t="shared" si="1"/>
        <v>X</v>
      </c>
    </row>
    <row r="83" spans="1:16" x14ac:dyDescent="0.2">
      <c r="A83" s="60"/>
      <c r="B83" s="37">
        <v>3</v>
      </c>
      <c r="D83" s="82" t="str">
        <f t="shared" si="1"/>
        <v>X</v>
      </c>
      <c r="E83" s="39" t="str">
        <f t="shared" si="1"/>
        <v>X</v>
      </c>
      <c r="F83" s="39" t="str">
        <f t="shared" si="1"/>
        <v>X</v>
      </c>
      <c r="G83" s="39" t="str">
        <f t="shared" si="1"/>
        <v>X</v>
      </c>
      <c r="H83" s="39" t="str">
        <f t="shared" si="1"/>
        <v>X</v>
      </c>
      <c r="I83" s="39" t="str">
        <f t="shared" si="1"/>
        <v>X</v>
      </c>
      <c r="J83" s="39" t="str">
        <f t="shared" si="1"/>
        <v>X</v>
      </c>
      <c r="K83" s="39" t="str">
        <f t="shared" si="1"/>
        <v>X</v>
      </c>
      <c r="L83" s="39" t="str">
        <f t="shared" si="1"/>
        <v>X</v>
      </c>
      <c r="M83" s="39" t="str">
        <f t="shared" si="1"/>
        <v>X</v>
      </c>
      <c r="N83" s="39" t="str">
        <f t="shared" si="1"/>
        <v>X</v>
      </c>
      <c r="O83" s="39" t="str">
        <f t="shared" si="1"/>
        <v>X</v>
      </c>
      <c r="P83" s="83" t="str">
        <f t="shared" si="1"/>
        <v>X</v>
      </c>
    </row>
    <row r="84" spans="1:16" x14ac:dyDescent="0.2">
      <c r="A84" s="60"/>
      <c r="B84" s="37">
        <v>4</v>
      </c>
      <c r="D84" s="82" t="str">
        <f t="shared" si="1"/>
        <v>X</v>
      </c>
      <c r="E84" s="39" t="str">
        <f t="shared" si="1"/>
        <v>X</v>
      </c>
      <c r="F84" s="39" t="str">
        <f t="shared" si="1"/>
        <v>X</v>
      </c>
      <c r="G84" s="39" t="str">
        <f t="shared" si="1"/>
        <v>X</v>
      </c>
      <c r="H84" s="39" t="str">
        <f t="shared" si="1"/>
        <v>X</v>
      </c>
      <c r="I84" s="39" t="str">
        <f t="shared" si="1"/>
        <v>X</v>
      </c>
      <c r="J84" s="39" t="str">
        <f t="shared" si="1"/>
        <v>X</v>
      </c>
      <c r="K84" s="39" t="str">
        <f t="shared" si="1"/>
        <v>X</v>
      </c>
      <c r="L84" s="39" t="str">
        <f t="shared" si="1"/>
        <v>X</v>
      </c>
      <c r="M84" s="39" t="str">
        <f t="shared" si="1"/>
        <v>X</v>
      </c>
      <c r="N84" s="39" t="str">
        <f t="shared" si="1"/>
        <v>X</v>
      </c>
      <c r="O84" s="39" t="str">
        <f t="shared" si="1"/>
        <v>X</v>
      </c>
      <c r="P84" s="83" t="str">
        <f t="shared" si="1"/>
        <v>X</v>
      </c>
    </row>
    <row r="85" spans="1:16" x14ac:dyDescent="0.2">
      <c r="A85" s="60"/>
      <c r="B85" s="37">
        <v>5</v>
      </c>
      <c r="D85" s="82" t="str">
        <f t="shared" si="1"/>
        <v>X</v>
      </c>
      <c r="E85" s="39" t="str">
        <f t="shared" si="1"/>
        <v>X</v>
      </c>
      <c r="F85" s="39" t="str">
        <f t="shared" si="1"/>
        <v>X</v>
      </c>
      <c r="G85" s="39" t="str">
        <f t="shared" si="1"/>
        <v>X</v>
      </c>
      <c r="H85" s="39" t="str">
        <f t="shared" si="1"/>
        <v>X</v>
      </c>
      <c r="I85" s="39" t="str">
        <f t="shared" si="1"/>
        <v>X</v>
      </c>
      <c r="J85" s="39" t="str">
        <f t="shared" si="1"/>
        <v>X</v>
      </c>
      <c r="K85" s="39" t="str">
        <f t="shared" si="1"/>
        <v>X</v>
      </c>
      <c r="L85" s="39" t="str">
        <f t="shared" si="1"/>
        <v>X</v>
      </c>
      <c r="M85" s="39" t="str">
        <f t="shared" si="1"/>
        <v>X</v>
      </c>
      <c r="N85" s="39" t="str">
        <f t="shared" si="1"/>
        <v>X</v>
      </c>
      <c r="O85" s="39" t="str">
        <f t="shared" si="1"/>
        <v>X</v>
      </c>
      <c r="P85" s="83" t="str">
        <f t="shared" si="1"/>
        <v>X</v>
      </c>
    </row>
    <row r="86" spans="1:16" x14ac:dyDescent="0.2">
      <c r="A86" s="60"/>
      <c r="B86" s="37">
        <v>6</v>
      </c>
      <c r="D86" s="82" t="str">
        <f t="shared" si="1"/>
        <v>X</v>
      </c>
      <c r="E86" s="39" t="str">
        <f t="shared" si="1"/>
        <v>X</v>
      </c>
      <c r="F86" s="39" t="str">
        <f t="shared" si="1"/>
        <v>X</v>
      </c>
      <c r="G86" s="39" t="str">
        <f t="shared" si="1"/>
        <v>X</v>
      </c>
      <c r="H86" s="39" t="str">
        <f t="shared" si="1"/>
        <v>X</v>
      </c>
      <c r="I86" s="39" t="str">
        <f t="shared" si="1"/>
        <v>X</v>
      </c>
      <c r="J86" s="39" t="str">
        <f t="shared" si="1"/>
        <v>X</v>
      </c>
      <c r="K86" s="39" t="str">
        <f t="shared" si="1"/>
        <v>X</v>
      </c>
      <c r="L86" s="39" t="str">
        <f t="shared" si="1"/>
        <v>X</v>
      </c>
      <c r="M86" s="39" t="str">
        <f t="shared" si="1"/>
        <v>X</v>
      </c>
      <c r="N86" s="39" t="str">
        <f t="shared" si="1"/>
        <v>X</v>
      </c>
      <c r="O86" s="39" t="str">
        <f t="shared" si="1"/>
        <v>X</v>
      </c>
      <c r="P86" s="83" t="str">
        <f t="shared" si="1"/>
        <v>X</v>
      </c>
    </row>
    <row r="87" spans="1:16" x14ac:dyDescent="0.2">
      <c r="A87" s="60" t="str">
        <f>B9</f>
        <v>76ers</v>
      </c>
      <c r="B87" s="37">
        <v>7</v>
      </c>
      <c r="D87" s="82" t="str">
        <f t="shared" si="1"/>
        <v>X</v>
      </c>
      <c r="E87" s="39" t="str">
        <f t="shared" si="1"/>
        <v>X</v>
      </c>
      <c r="F87" s="39" t="str">
        <f t="shared" si="1"/>
        <v>X</v>
      </c>
      <c r="G87" s="39" t="str">
        <f t="shared" si="1"/>
        <v>X</v>
      </c>
      <c r="H87" s="39" t="str">
        <f t="shared" si="1"/>
        <v>X</v>
      </c>
      <c r="I87" s="39" t="str">
        <f t="shared" si="1"/>
        <v>X</v>
      </c>
      <c r="J87" s="39" t="str">
        <f t="shared" si="1"/>
        <v>X</v>
      </c>
      <c r="K87" s="39" t="str">
        <f t="shared" si="1"/>
        <v>X</v>
      </c>
      <c r="L87" s="39" t="str">
        <f t="shared" si="1"/>
        <v>X</v>
      </c>
      <c r="M87" s="39" t="str">
        <f t="shared" si="1"/>
        <v>X</v>
      </c>
      <c r="N87" s="39" t="str">
        <f t="shared" si="1"/>
        <v>X</v>
      </c>
      <c r="O87" s="39" t="str">
        <f t="shared" si="1"/>
        <v>X</v>
      </c>
      <c r="P87" s="83" t="str">
        <f t="shared" si="1"/>
        <v>X</v>
      </c>
    </row>
    <row r="88" spans="1:16" x14ac:dyDescent="0.2">
      <c r="A88" s="60"/>
      <c r="B88" s="37">
        <v>8</v>
      </c>
      <c r="D88" s="82" t="str">
        <f t="shared" si="1"/>
        <v>X</v>
      </c>
      <c r="E88" s="39" t="str">
        <f t="shared" si="1"/>
        <v>X</v>
      </c>
      <c r="F88" s="39" t="str">
        <f t="shared" si="1"/>
        <v>X</v>
      </c>
      <c r="G88" s="39" t="str">
        <f t="shared" si="1"/>
        <v>X</v>
      </c>
      <c r="H88" s="39" t="str">
        <f t="shared" si="1"/>
        <v>X</v>
      </c>
      <c r="I88" s="39" t="str">
        <f t="shared" si="1"/>
        <v>X</v>
      </c>
      <c r="J88" s="39" t="str">
        <f t="shared" si="1"/>
        <v>X</v>
      </c>
      <c r="K88" s="39" t="str">
        <f t="shared" si="1"/>
        <v>X</v>
      </c>
      <c r="L88" s="39" t="str">
        <f t="shared" si="1"/>
        <v>X</v>
      </c>
      <c r="M88" s="39" t="str">
        <f t="shared" si="1"/>
        <v>X</v>
      </c>
      <c r="N88" s="39" t="str">
        <f t="shared" si="1"/>
        <v>X</v>
      </c>
      <c r="O88" s="39" t="str">
        <f t="shared" si="1"/>
        <v>X</v>
      </c>
      <c r="P88" s="83" t="str">
        <f t="shared" si="1"/>
        <v>X</v>
      </c>
    </row>
    <row r="89" spans="1:16" x14ac:dyDescent="0.2">
      <c r="A89" s="60"/>
      <c r="B89" s="37">
        <v>9</v>
      </c>
      <c r="D89" s="82" t="str">
        <f t="shared" si="1"/>
        <v>X</v>
      </c>
      <c r="E89" s="39" t="str">
        <f t="shared" si="1"/>
        <v>X</v>
      </c>
      <c r="F89" s="39" t="str">
        <f t="shared" si="1"/>
        <v>X</v>
      </c>
      <c r="G89" s="39" t="str">
        <f t="shared" si="1"/>
        <v>X</v>
      </c>
      <c r="H89" s="39" t="str">
        <f t="shared" si="1"/>
        <v>X</v>
      </c>
      <c r="I89" s="39" t="str">
        <f t="shared" si="1"/>
        <v>X</v>
      </c>
      <c r="J89" s="39" t="str">
        <f t="shared" si="1"/>
        <v>X</v>
      </c>
      <c r="K89" s="39" t="str">
        <f t="shared" si="1"/>
        <v>X</v>
      </c>
      <c r="L89" s="39" t="str">
        <f t="shared" si="1"/>
        <v>X</v>
      </c>
      <c r="M89" s="39" t="str">
        <f t="shared" si="1"/>
        <v>X</v>
      </c>
      <c r="N89" s="39" t="str">
        <f t="shared" si="1"/>
        <v>X</v>
      </c>
      <c r="O89" s="39" t="str">
        <f t="shared" si="1"/>
        <v>X</v>
      </c>
      <c r="P89" s="83" t="str">
        <f t="shared" si="1"/>
        <v>X</v>
      </c>
    </row>
    <row r="90" spans="1:16" x14ac:dyDescent="0.2">
      <c r="A90" s="60"/>
      <c r="B90" s="37">
        <v>10</v>
      </c>
      <c r="D90" s="82" t="str">
        <f t="shared" si="1"/>
        <v>X</v>
      </c>
      <c r="E90" s="39" t="str">
        <f t="shared" si="1"/>
        <v>X</v>
      </c>
      <c r="F90" s="39" t="str">
        <f t="shared" si="1"/>
        <v>X</v>
      </c>
      <c r="G90" s="39" t="str">
        <f t="shared" si="1"/>
        <v>X</v>
      </c>
      <c r="H90" s="39" t="str">
        <f t="shared" si="1"/>
        <v>X</v>
      </c>
      <c r="I90" s="39" t="str">
        <f t="shared" si="1"/>
        <v>X</v>
      </c>
      <c r="J90" s="39" t="str">
        <f t="shared" si="1"/>
        <v>X</v>
      </c>
      <c r="K90" s="39" t="str">
        <f t="shared" si="1"/>
        <v>X</v>
      </c>
      <c r="L90" s="39" t="str">
        <f t="shared" si="1"/>
        <v>X</v>
      </c>
      <c r="M90" s="39" t="str">
        <f t="shared" si="1"/>
        <v>X</v>
      </c>
      <c r="N90" s="39" t="str">
        <f t="shared" si="1"/>
        <v>X</v>
      </c>
      <c r="O90" s="39" t="str">
        <f t="shared" si="1"/>
        <v>X</v>
      </c>
      <c r="P90" s="83" t="str">
        <f t="shared" si="1"/>
        <v>X</v>
      </c>
    </row>
    <row r="91" spans="1:16" x14ac:dyDescent="0.2">
      <c r="A91" s="60"/>
      <c r="B91" s="37">
        <v>11</v>
      </c>
      <c r="D91" s="82" t="str">
        <f t="shared" si="1"/>
        <v>X</v>
      </c>
      <c r="E91" s="39" t="str">
        <f t="shared" si="1"/>
        <v>X</v>
      </c>
      <c r="F91" s="39" t="str">
        <f t="shared" si="1"/>
        <v>X</v>
      </c>
      <c r="G91" s="39" t="str">
        <f t="shared" si="1"/>
        <v>X</v>
      </c>
      <c r="H91" s="39" t="str">
        <f t="shared" si="1"/>
        <v>X</v>
      </c>
      <c r="I91" s="39" t="str">
        <f t="shared" si="1"/>
        <v>X</v>
      </c>
      <c r="J91" s="39" t="str">
        <f t="shared" si="1"/>
        <v>X</v>
      </c>
      <c r="K91" s="39" t="str">
        <f t="shared" si="1"/>
        <v>X</v>
      </c>
      <c r="L91" s="39" t="str">
        <f t="shared" si="1"/>
        <v>X</v>
      </c>
      <c r="M91" s="39" t="str">
        <f t="shared" si="1"/>
        <v>X</v>
      </c>
      <c r="N91" s="39" t="str">
        <f t="shared" si="1"/>
        <v>X</v>
      </c>
      <c r="O91" s="39" t="str">
        <f t="shared" si="1"/>
        <v>X</v>
      </c>
      <c r="P91" s="83" t="str">
        <f t="shared" si="1"/>
        <v>X</v>
      </c>
    </row>
    <row r="92" spans="1:16" x14ac:dyDescent="0.2">
      <c r="A92" s="60"/>
      <c r="B92" s="37">
        <v>12</v>
      </c>
      <c r="D92" s="82" t="str">
        <f t="shared" si="1"/>
        <v>X</v>
      </c>
      <c r="E92" s="39" t="str">
        <f t="shared" si="1"/>
        <v>X</v>
      </c>
      <c r="F92" s="39" t="str">
        <f t="shared" si="1"/>
        <v>X</v>
      </c>
      <c r="G92" s="39" t="str">
        <f t="shared" si="1"/>
        <v>X</v>
      </c>
      <c r="H92" s="39" t="str">
        <f t="shared" si="1"/>
        <v>X</v>
      </c>
      <c r="I92" s="39" t="str">
        <f t="shared" si="1"/>
        <v>X</v>
      </c>
      <c r="J92" s="39" t="str">
        <f t="shared" si="1"/>
        <v>X</v>
      </c>
      <c r="K92" s="39" t="str">
        <f t="shared" si="1"/>
        <v>X</v>
      </c>
      <c r="L92" s="39" t="str">
        <f t="shared" si="1"/>
        <v>X</v>
      </c>
      <c r="M92" s="39" t="str">
        <f t="shared" si="1"/>
        <v>X</v>
      </c>
      <c r="N92" s="39" t="str">
        <f t="shared" si="1"/>
        <v>X</v>
      </c>
      <c r="O92" s="39" t="str">
        <f t="shared" si="1"/>
        <v>X</v>
      </c>
      <c r="P92" s="83" t="str">
        <f t="shared" si="1"/>
        <v>X</v>
      </c>
    </row>
    <row r="93" spans="1:16" x14ac:dyDescent="0.2">
      <c r="A93" s="60"/>
      <c r="B93" s="37">
        <v>13</v>
      </c>
      <c r="D93" s="84" t="str">
        <f t="shared" si="1"/>
        <v>X</v>
      </c>
      <c r="E93" s="85" t="str">
        <f t="shared" si="1"/>
        <v>X</v>
      </c>
      <c r="F93" s="85" t="str">
        <f t="shared" si="1"/>
        <v>X</v>
      </c>
      <c r="G93" s="85" t="str">
        <f t="shared" si="1"/>
        <v>X</v>
      </c>
      <c r="H93" s="85" t="str">
        <f t="shared" si="1"/>
        <v>X</v>
      </c>
      <c r="I93" s="85" t="str">
        <f t="shared" si="1"/>
        <v>X</v>
      </c>
      <c r="J93" s="85" t="str">
        <f t="shared" si="1"/>
        <v>X</v>
      </c>
      <c r="K93" s="85" t="str">
        <f t="shared" si="1"/>
        <v>X</v>
      </c>
      <c r="L93" s="85" t="str">
        <f t="shared" si="1"/>
        <v>X</v>
      </c>
      <c r="M93" s="85" t="str">
        <f t="shared" si="1"/>
        <v>X</v>
      </c>
      <c r="N93" s="85" t="str">
        <f t="shared" si="1"/>
        <v>X</v>
      </c>
      <c r="O93" s="85" t="str">
        <f t="shared" si="1"/>
        <v>X</v>
      </c>
      <c r="P93" s="86" t="str">
        <f t="shared" si="1"/>
        <v>X</v>
      </c>
    </row>
    <row r="94" spans="1:16" x14ac:dyDescent="0.2">
      <c r="D94" s="1">
        <f t="shared" ref="D94:P94" si="2">IF(D76&gt;0, IF(D53&gt;0, "X", -1), -1)</f>
        <v>-1</v>
      </c>
      <c r="E94" s="1">
        <f t="shared" si="2"/>
        <v>-1</v>
      </c>
      <c r="F94" s="1">
        <f t="shared" si="2"/>
        <v>-1</v>
      </c>
      <c r="G94" s="1">
        <f t="shared" si="2"/>
        <v>-1</v>
      </c>
      <c r="H94" s="1">
        <f t="shared" si="2"/>
        <v>-1</v>
      </c>
      <c r="I94" s="1">
        <f t="shared" si="2"/>
        <v>-1</v>
      </c>
      <c r="J94" s="1">
        <f t="shared" si="2"/>
        <v>-1</v>
      </c>
      <c r="K94" s="1">
        <f t="shared" si="2"/>
        <v>-1</v>
      </c>
      <c r="L94" s="1">
        <f t="shared" si="2"/>
        <v>-1</v>
      </c>
      <c r="M94" s="1">
        <f t="shared" si="2"/>
        <v>-1</v>
      </c>
      <c r="N94" s="1">
        <f t="shared" si="2"/>
        <v>-1</v>
      </c>
      <c r="O94" s="1">
        <f t="shared" si="2"/>
        <v>-1</v>
      </c>
      <c r="P94" s="1">
        <f t="shared" si="2"/>
        <v>-1</v>
      </c>
    </row>
  </sheetData>
  <mergeCells count="7">
    <mergeCell ref="A78:B78"/>
    <mergeCell ref="B20:E20"/>
    <mergeCell ref="B27:E27"/>
    <mergeCell ref="B35:P35"/>
    <mergeCell ref="B56:P56"/>
    <mergeCell ref="A58:B58"/>
    <mergeCell ref="B76:P76"/>
  </mergeCells>
  <conditionalFormatting sqref="H9:H10">
    <cfRule type="cellIs" dxfId="43" priority="19" operator="lessThan">
      <formula>0</formula>
    </cfRule>
    <cfRule type="cellIs" dxfId="42" priority="20" operator="greaterThan">
      <formula>0</formula>
    </cfRule>
  </conditionalFormatting>
  <conditionalFormatting sqref="H6:H7">
    <cfRule type="cellIs" dxfId="41" priority="21" operator="lessThan">
      <formula>0</formula>
    </cfRule>
    <cfRule type="cellIs" dxfId="40" priority="22" operator="greaterThan">
      <formula>0</formula>
    </cfRule>
  </conditionalFormatting>
  <conditionalFormatting sqref="D30:E31">
    <cfRule type="cellIs" dxfId="39" priority="17" operator="lessThan">
      <formula>0</formula>
    </cfRule>
    <cfRule type="cellIs" dxfId="38" priority="18" operator="greaterThan">
      <formula>0</formula>
    </cfRule>
  </conditionalFormatting>
  <conditionalFormatting sqref="D40:H44">
    <cfRule type="cellIs" dxfId="37" priority="16" operator="greaterThan">
      <formula>0</formula>
    </cfRule>
  </conditionalFormatting>
  <conditionalFormatting sqref="D42:D44">
    <cfRule type="cellIs" dxfId="36" priority="15" operator="lessThan">
      <formula>0</formula>
    </cfRule>
  </conditionalFormatting>
  <conditionalFormatting sqref="D40:P52">
    <cfRule type="cellIs" dxfId="35" priority="13" operator="lessThan">
      <formula>0</formula>
    </cfRule>
    <cfRule type="cellIs" dxfId="34" priority="14" operator="greaterThan">
      <formula>0</formula>
    </cfRule>
  </conditionalFormatting>
  <conditionalFormatting sqref="D61:H65">
    <cfRule type="cellIs" dxfId="33" priority="12" operator="greaterThan">
      <formula>0</formula>
    </cfRule>
  </conditionalFormatting>
  <conditionalFormatting sqref="D63:D65">
    <cfRule type="cellIs" dxfId="32" priority="11" operator="lessThan">
      <formula>0</formula>
    </cfRule>
  </conditionalFormatting>
  <conditionalFormatting sqref="D61:P75">
    <cfRule type="cellIs" dxfId="31" priority="9" operator="lessThan">
      <formula>0</formula>
    </cfRule>
    <cfRule type="cellIs" dxfId="30" priority="10" operator="greaterThan">
      <formula>0</formula>
    </cfRule>
  </conditionalFormatting>
  <conditionalFormatting sqref="D81:P94">
    <cfRule type="cellIs" dxfId="29" priority="8" operator="lessThan">
      <formula>0</formula>
    </cfRule>
  </conditionalFormatting>
  <conditionalFormatting sqref="D81:P93">
    <cfRule type="cellIs" dxfId="28" priority="1" operator="equal">
      <formula>$H$78</formula>
    </cfRule>
    <cfRule type="cellIs" dxfId="27" priority="4" operator="equal">
      <formula>"X"</formula>
    </cfRule>
    <cfRule type="cellIs" dxfId="26" priority="5" operator="equal">
      <formula>"X"</formula>
    </cfRule>
    <cfRule type="cellIs" dxfId="25" priority="6" operator="lessThan">
      <formula>0</formula>
    </cfRule>
    <cfRule type="cellIs" dxfId="24" priority="7" operator="lessThan">
      <formula>0</formula>
    </cfRule>
  </conditionalFormatting>
  <dataValidations count="1">
    <dataValidation type="list" allowBlank="1" showInputMessage="1" showErrorMessage="1" sqref="I6:I7 I9:I10" xr:uid="{B19E2F9D-6F10-CE4B-B60A-60FE69F3E04B}">
      <formula1>"Winning Bet, Losing Bet, No Bet"</formula1>
    </dataValidation>
  </dataValidations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0" r:id="rId4" name="Scroll Bar 6">
              <controlPr defaultSize="0" autoPict="0">
                <anchor moveWithCells="1">
                  <from>
                    <xdr:col>1</xdr:col>
                    <xdr:colOff>177800</xdr:colOff>
                    <xdr:row>5</xdr:row>
                    <xdr:rowOff>88900</xdr:rowOff>
                  </from>
                  <to>
                    <xdr:col>1</xdr:col>
                    <xdr:colOff>2717800</xdr:colOff>
                    <xdr:row>5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5" name="Scroll Bar 7">
              <controlPr defaultSize="0" autoPict="0">
                <anchor moveWithCells="1">
                  <from>
                    <xdr:col>1</xdr:col>
                    <xdr:colOff>215900</xdr:colOff>
                    <xdr:row>6</xdr:row>
                    <xdr:rowOff>88900</xdr:rowOff>
                  </from>
                  <to>
                    <xdr:col>1</xdr:col>
                    <xdr:colOff>2755900</xdr:colOff>
                    <xdr:row>6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6" name="Scroll Bar 8">
              <controlPr defaultSize="0" autoPict="0">
                <anchor moveWithCells="1">
                  <from>
                    <xdr:col>1</xdr:col>
                    <xdr:colOff>215900</xdr:colOff>
                    <xdr:row>8</xdr:row>
                    <xdr:rowOff>88900</xdr:rowOff>
                  </from>
                  <to>
                    <xdr:col>1</xdr:col>
                    <xdr:colOff>2755900</xdr:colOff>
                    <xdr:row>8</xdr:row>
                    <xdr:rowOff>469900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7" name="Scroll Bar 9">
              <controlPr defaultSize="0" autoPict="0">
                <anchor moveWithCells="1">
                  <from>
                    <xdr:col>1</xdr:col>
                    <xdr:colOff>215900</xdr:colOff>
                    <xdr:row>9</xdr:row>
                    <xdr:rowOff>88900</xdr:rowOff>
                  </from>
                  <to>
                    <xdr:col>1</xdr:col>
                    <xdr:colOff>2755900</xdr:colOff>
                    <xdr:row>9</xdr:row>
                    <xdr:rowOff>469900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7F9DD5C-D58A-E64F-843A-65AFAC61DBA0}">
            <xm:f>NOT(ISERROR(SEARCH($A$87,D81)))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D81:P93</xm:sqref>
        </x14:conditionalFormatting>
        <x14:conditionalFormatting xmlns:xm="http://schemas.microsoft.com/office/excel/2006/main">
          <x14:cfRule type="containsText" priority="3" operator="containsText" id="{2696B91A-1F04-D947-8315-1E853BB12358}">
            <xm:f>NOT(ISERROR(SEARCH($A$87,K97)))</xm:f>
            <xm:f>$A$87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sb (2)</vt:lpstr>
      <vt:lpstr>LA SUNS NUGGETS WARRIORS</vt:lpstr>
      <vt:lpstr>Team List</vt:lpstr>
      <vt:lpstr>Week 5</vt:lpstr>
      <vt:lpstr>Sheet2</vt:lpstr>
      <vt:lpstr>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</dc:creator>
  <cp:lastModifiedBy>Satish Upadhyay</cp:lastModifiedBy>
  <dcterms:created xsi:type="dcterms:W3CDTF">2021-10-07T19:07:22Z</dcterms:created>
  <dcterms:modified xsi:type="dcterms:W3CDTF">2023-05-04T00:16:01Z</dcterms:modified>
</cp:coreProperties>
</file>