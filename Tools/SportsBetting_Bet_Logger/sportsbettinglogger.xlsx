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me/Documents/"/>
    </mc:Choice>
  </mc:AlternateContent>
  <xr:revisionPtr revIDLastSave="0" documentId="13_ncr:1_{131550A1-A9E6-3C44-8722-D8292E414C0E}" xr6:coauthVersionLast="47" xr6:coauthVersionMax="47" xr10:uidLastSave="{00000000-0000-0000-0000-000000000000}"/>
  <bookViews>
    <workbookView xWindow="340" yWindow="560" windowWidth="27640" windowHeight="15760" xr2:uid="{CFA45BF9-1545-A147-BE6B-DA20227BFE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" i="1" l="1"/>
  <c r="I95" i="1"/>
  <c r="I93" i="1"/>
  <c r="I90" i="1"/>
  <c r="I88" i="1"/>
  <c r="I85" i="1"/>
  <c r="I82" i="1"/>
  <c r="I79" i="1"/>
  <c r="I74" i="1"/>
  <c r="I70" i="1"/>
  <c r="I67" i="1"/>
  <c r="I61" i="1"/>
  <c r="I58" i="1"/>
  <c r="I55" i="1"/>
  <c r="I51" i="1"/>
  <c r="I48" i="1"/>
  <c r="I40" i="1"/>
  <c r="I38" i="1"/>
  <c r="I36" i="1"/>
  <c r="I34" i="1"/>
  <c r="I32" i="1"/>
  <c r="I30" i="1"/>
  <c r="I28" i="1"/>
  <c r="I23" i="1"/>
  <c r="H98" i="1"/>
  <c r="H95" i="1"/>
  <c r="H93" i="1"/>
  <c r="H90" i="1"/>
  <c r="H88" i="1"/>
  <c r="H85" i="1"/>
  <c r="H82" i="1"/>
  <c r="H79" i="1"/>
  <c r="H74" i="1"/>
  <c r="H70" i="1"/>
  <c r="H67" i="1"/>
  <c r="H61" i="1"/>
  <c r="H58" i="1"/>
  <c r="H55" i="1"/>
  <c r="H51" i="1"/>
  <c r="H48" i="1"/>
  <c r="H42" i="1"/>
  <c r="H40" i="1"/>
  <c r="H38" i="1"/>
  <c r="H36" i="1"/>
  <c r="H34" i="1"/>
  <c r="H32" i="1"/>
  <c r="H30" i="1"/>
  <c r="H28" i="1"/>
  <c r="H23" i="1"/>
  <c r="E98" i="1"/>
  <c r="E95" i="1"/>
  <c r="E93" i="1"/>
  <c r="E90" i="1"/>
  <c r="E88" i="1"/>
  <c r="E85" i="1"/>
  <c r="E82" i="1"/>
  <c r="E79" i="1"/>
  <c r="E74" i="1"/>
  <c r="E70" i="1"/>
  <c r="E67" i="1"/>
  <c r="E61" i="1"/>
  <c r="E58" i="1"/>
  <c r="E55" i="1"/>
  <c r="E51" i="1"/>
  <c r="E48" i="1"/>
  <c r="E42" i="1"/>
  <c r="E40" i="1"/>
  <c r="E38" i="1"/>
  <c r="E36" i="1"/>
  <c r="E34" i="1"/>
  <c r="E32" i="1"/>
  <c r="E30" i="1"/>
  <c r="E28" i="1"/>
  <c r="E23" i="1"/>
  <c r="I21" i="1"/>
  <c r="H21" i="1"/>
  <c r="E21" i="1"/>
  <c r="H19" i="1"/>
  <c r="I19" i="1" s="1"/>
  <c r="E19" i="1"/>
  <c r="I17" i="1"/>
  <c r="H17" i="1"/>
  <c r="E17" i="1"/>
  <c r="I12" i="1"/>
  <c r="H12" i="1"/>
  <c r="E12" i="1"/>
  <c r="I9" i="1"/>
  <c r="E9" i="1"/>
  <c r="H9" i="1" s="1"/>
</calcChain>
</file>

<file path=xl/sharedStrings.xml><?xml version="1.0" encoding="utf-8"?>
<sst xmlns="http://schemas.openxmlformats.org/spreadsheetml/2006/main" count="103" uniqueCount="72">
  <si>
    <t xml:space="preserve">Bet Name </t>
  </si>
  <si>
    <t>Date</t>
  </si>
  <si>
    <t>Odds</t>
  </si>
  <si>
    <t>Hit</t>
  </si>
  <si>
    <t>Miss</t>
  </si>
  <si>
    <t>Return</t>
  </si>
  <si>
    <t>Wager</t>
  </si>
  <si>
    <t xml:space="preserve">Capital </t>
  </si>
  <si>
    <t>Payout</t>
  </si>
  <si>
    <t>x</t>
  </si>
  <si>
    <t>Starting capital</t>
  </si>
  <si>
    <t>Xavier -1100</t>
  </si>
  <si>
    <t xml:space="preserve">Xavier -1100 </t>
  </si>
  <si>
    <t>Wisconsin -1000</t>
  </si>
  <si>
    <t>Virginia Commonwealth -400</t>
  </si>
  <si>
    <t>Tommy Paul -285</t>
  </si>
  <si>
    <t xml:space="preserve">Casper Ruud -260 </t>
  </si>
  <si>
    <t xml:space="preserve">Daniil Medvedev -550 </t>
  </si>
  <si>
    <t>Alexander Zverev -600</t>
  </si>
  <si>
    <t>Grigor Dimitrov -1200</t>
  </si>
  <si>
    <t>Carlos Alcaraz -3300</t>
  </si>
  <si>
    <t xml:space="preserve">Eastern Washington -260 </t>
  </si>
  <si>
    <t>California Baptist  -420</t>
  </si>
  <si>
    <t>Hubert Hurkacz -275</t>
  </si>
  <si>
    <t>Novak Djokovic -950</t>
  </si>
  <si>
    <t>Jannik Sinner -400</t>
  </si>
  <si>
    <t>Daniil Medvedev -2500</t>
  </si>
  <si>
    <t>Dayton -440</t>
  </si>
  <si>
    <t>Butler -160</t>
  </si>
  <si>
    <t>Nebraska -175</t>
  </si>
  <si>
    <t>Central Michigan -120</t>
  </si>
  <si>
    <t xml:space="preserve">Kentucky -230 </t>
  </si>
  <si>
    <t>Massachusetts -165</t>
  </si>
  <si>
    <t>Western Michigan -260</t>
  </si>
  <si>
    <t xml:space="preserve">Creighton -430 </t>
  </si>
  <si>
    <t>Northern Iowa -1000</t>
  </si>
  <si>
    <t>Central Florida -400</t>
  </si>
  <si>
    <t>Duke -1300</t>
  </si>
  <si>
    <t>UNLV -750</t>
  </si>
  <si>
    <t>Texas A&amp;M -750</t>
  </si>
  <si>
    <t xml:space="preserve">Daniil Medvedev -250 </t>
  </si>
  <si>
    <t>Carlos Alcaraz -550</t>
  </si>
  <si>
    <t xml:space="preserve">Novak Djokovic -220 </t>
  </si>
  <si>
    <t>Nevada -800</t>
  </si>
  <si>
    <t>Creighton -585</t>
  </si>
  <si>
    <t>Marie Bouzkova -400</t>
  </si>
  <si>
    <t xml:space="preserve">Diane parry -550 </t>
  </si>
  <si>
    <t>Katarina Zavatska -1200</t>
  </si>
  <si>
    <t>Simona Waltert -7500</t>
  </si>
  <si>
    <t>Erika Andreeva -1600</t>
  </si>
  <si>
    <t>Nuria Parrizas Diaz -5000</t>
  </si>
  <si>
    <t>Jil Teichmann -1400</t>
  </si>
  <si>
    <t>Randy Brown -265</t>
  </si>
  <si>
    <t>Renato Moicano -200</t>
  </si>
  <si>
    <t>Wake Forest -420</t>
  </si>
  <si>
    <t xml:space="preserve">Montana State -440 </t>
  </si>
  <si>
    <t>UNLV -490</t>
  </si>
  <si>
    <t>Alabama -415</t>
  </si>
  <si>
    <t>Sourthern Utah -550</t>
  </si>
  <si>
    <t xml:space="preserve">Cal Irvine -420 </t>
  </si>
  <si>
    <t>Linda Noskova -400</t>
  </si>
  <si>
    <t>Danielle Rose Collins -285</t>
  </si>
  <si>
    <t>Emil Ruusuvuori -210</t>
  </si>
  <si>
    <t xml:space="preserve">Felix Auger Aliassime -310 </t>
  </si>
  <si>
    <t>Tommy Paul -260</t>
  </si>
  <si>
    <t xml:space="preserve">Ben Shelton -220 </t>
  </si>
  <si>
    <t xml:space="preserve">Jordan Pool over 1.5 three points </t>
  </si>
  <si>
    <t>Nevada -140</t>
  </si>
  <si>
    <t>Dayton -125</t>
  </si>
  <si>
    <t>Jayson Taytum over 2.5 three points</t>
  </si>
  <si>
    <t>Adrian Mannarine -215</t>
  </si>
  <si>
    <t xml:space="preserve">Karolina Pliskova -400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</si>
</sst>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2" fontId="6" fillId="0" borderId="0" xfId="0" applyNumberFormat="1" applyFont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4F80-2E6D-9B4E-A7D2-1EA8CC0D96DB}">
  <dimension ref="A3:I98"/>
  <sheetViews>
    <sheetView tabSelected="1" zoomScaleNormal="100" workbookViewId="0">
      <selection activeCell="I107" sqref="I107"/>
    </sheetView>
  </sheetViews>
  <sheetFormatPr baseColWidth="10" defaultRowHeight="16" x14ac:dyDescent="0.2"/>
  <cols>
    <col min="1" max="1" width="18.33203125" style="2" customWidth="1"/>
    <col min="2" max="2" width="27.5" style="12" customWidth="1"/>
    <col min="3" max="3" width="10.83203125" style="5"/>
    <col min="4" max="5" width="20.5" style="2" customWidth="1"/>
    <col min="6" max="7" width="10.83203125" style="5"/>
    <col min="8" max="8" width="10.83203125" style="2"/>
    <col min="9" max="9" width="11.6640625" style="2" bestFit="1" customWidth="1"/>
    <col min="10" max="16384" width="10.83203125" style="2"/>
  </cols>
  <sheetData>
    <row r="3" spans="1:9" x14ac:dyDescent="0.2">
      <c r="A3" s="2" t="s">
        <v>10</v>
      </c>
      <c r="B3" s="10">
        <v>1000</v>
      </c>
    </row>
    <row r="5" spans="1:9" s="1" customFormat="1" x14ac:dyDescent="0.2">
      <c r="A5" s="4" t="s">
        <v>1</v>
      </c>
      <c r="B5" s="4" t="s">
        <v>0</v>
      </c>
      <c r="C5" s="9" t="s">
        <v>6</v>
      </c>
      <c r="D5" s="4" t="s">
        <v>2</v>
      </c>
      <c r="E5" s="4" t="s">
        <v>5</v>
      </c>
      <c r="F5" s="9" t="s">
        <v>3</v>
      </c>
      <c r="G5" s="9" t="s">
        <v>4</v>
      </c>
      <c r="H5" s="4" t="s">
        <v>8</v>
      </c>
      <c r="I5" s="4" t="s">
        <v>7</v>
      </c>
    </row>
    <row r="6" spans="1:9" s="1" customFormat="1" x14ac:dyDescent="0.2">
      <c r="A6" s="7"/>
      <c r="B6" s="11"/>
      <c r="C6" s="8"/>
      <c r="D6" s="7"/>
      <c r="E6" s="7"/>
      <c r="F6" s="8"/>
      <c r="G6" s="8"/>
      <c r="H6" s="7"/>
      <c r="I6" s="7"/>
    </row>
    <row r="7" spans="1:9" x14ac:dyDescent="0.2">
      <c r="A7" s="6">
        <v>45310</v>
      </c>
      <c r="B7" s="12" t="s">
        <v>12</v>
      </c>
      <c r="E7" s="3"/>
    </row>
    <row r="8" spans="1:9" x14ac:dyDescent="0.2">
      <c r="B8" s="12" t="s">
        <v>13</v>
      </c>
      <c r="E8" s="3"/>
    </row>
    <row r="9" spans="1:9" x14ac:dyDescent="0.2">
      <c r="B9" s="12" t="s">
        <v>14</v>
      </c>
      <c r="C9" s="5">
        <v>10</v>
      </c>
      <c r="D9" s="2">
        <v>-200</v>
      </c>
      <c r="E9" s="3">
        <f>IF(D9&gt;0, ABS(D9/100), ABS(100/D9))</f>
        <v>0.5</v>
      </c>
      <c r="F9" s="5" t="s">
        <v>9</v>
      </c>
      <c r="H9" s="2">
        <f>IF(G9 = "x", C9*-1,C9*E9)</f>
        <v>5</v>
      </c>
      <c r="I9" s="2">
        <f>B3+H7</f>
        <v>1000</v>
      </c>
    </row>
    <row r="11" spans="1:9" x14ac:dyDescent="0.2">
      <c r="A11" s="6">
        <v>45311</v>
      </c>
      <c r="B11" s="12" t="s">
        <v>15</v>
      </c>
    </row>
    <row r="12" spans="1:9" x14ac:dyDescent="0.2">
      <c r="B12" s="12" t="s">
        <v>16</v>
      </c>
      <c r="C12" s="5">
        <v>10</v>
      </c>
      <c r="D12" s="2">
        <v>-115</v>
      </c>
      <c r="E12" s="3">
        <f>IF(D12&gt;0, ABS(D12/100), ABS(100/D12))</f>
        <v>0.86956521739130432</v>
      </c>
      <c r="G12" s="5" t="s">
        <v>9</v>
      </c>
      <c r="H12" s="2">
        <f>IF(G12 = "x", C12*-1,C12*E12)</f>
        <v>-10</v>
      </c>
      <c r="I12" s="2">
        <f>I9+H12</f>
        <v>990</v>
      </c>
    </row>
    <row r="14" spans="1:9" x14ac:dyDescent="0.2">
      <c r="A14" s="6">
        <v>45311</v>
      </c>
      <c r="B14" s="13" t="s">
        <v>17</v>
      </c>
    </row>
    <row r="15" spans="1:9" x14ac:dyDescent="0.2">
      <c r="B15" s="12" t="s">
        <v>18</v>
      </c>
    </row>
    <row r="16" spans="1:9" x14ac:dyDescent="0.2">
      <c r="B16" s="12" t="s">
        <v>19</v>
      </c>
    </row>
    <row r="17" spans="1:9" x14ac:dyDescent="0.2">
      <c r="B17" s="12" t="s">
        <v>20</v>
      </c>
      <c r="C17" s="5">
        <v>10</v>
      </c>
      <c r="D17" s="2">
        <v>-186</v>
      </c>
      <c r="E17" s="3">
        <f>IF(D17&gt;0, ABS(D17/100), ABS(100/D17))</f>
        <v>0.5376344086021505</v>
      </c>
      <c r="G17" s="5" t="s">
        <v>9</v>
      </c>
      <c r="H17" s="2">
        <f>IF(G17 = "x", C17*-1,C17*E17)</f>
        <v>-10</v>
      </c>
      <c r="I17" s="2">
        <f>H17+I12</f>
        <v>980</v>
      </c>
    </row>
    <row r="19" spans="1:9" x14ac:dyDescent="0.2">
      <c r="A19" s="6">
        <v>45311</v>
      </c>
      <c r="B19" s="12" t="s">
        <v>21</v>
      </c>
      <c r="C19" s="5">
        <v>10</v>
      </c>
      <c r="D19" s="2">
        <v>-260</v>
      </c>
      <c r="E19" s="3">
        <f>IF(D19&gt;0, ABS(D19/100), ABS(100/D19))</f>
        <v>0.38461538461538464</v>
      </c>
      <c r="F19" s="5" t="s">
        <v>9</v>
      </c>
      <c r="H19" s="14">
        <f>IF(G19 = "x", C19*-1,C19*E19)</f>
        <v>3.8461538461538463</v>
      </c>
      <c r="I19" s="14">
        <f>H19+I17</f>
        <v>983.84615384615381</v>
      </c>
    </row>
    <row r="21" spans="1:9" x14ac:dyDescent="0.2">
      <c r="A21" s="6">
        <v>45311</v>
      </c>
      <c r="B21" s="12" t="s">
        <v>22</v>
      </c>
      <c r="C21" s="5">
        <v>10</v>
      </c>
      <c r="D21" s="2">
        <v>-420</v>
      </c>
      <c r="E21" s="3">
        <f>IF(D21&gt;0, ABS(D21/100), ABS(100/D21))</f>
        <v>0.23809523809523808</v>
      </c>
      <c r="F21" s="5" t="s">
        <v>9</v>
      </c>
      <c r="H21" s="14">
        <f>IF(G21 = "x", C21*-1,C21*E21)</f>
        <v>2.3809523809523809</v>
      </c>
      <c r="I21" s="14">
        <f>H21+I19</f>
        <v>986.22710622710622</v>
      </c>
    </row>
    <row r="23" spans="1:9" x14ac:dyDescent="0.2">
      <c r="A23" s="6">
        <v>45313</v>
      </c>
      <c r="B23" s="12" t="s">
        <v>23</v>
      </c>
      <c r="C23" s="5">
        <v>10</v>
      </c>
      <c r="D23" s="2">
        <v>-275</v>
      </c>
      <c r="E23" s="3">
        <f>IF(D23&gt;0, ABS(D23/100), ABS(100/D23))</f>
        <v>0.36363636363636365</v>
      </c>
      <c r="F23" s="5" t="s">
        <v>9</v>
      </c>
      <c r="H23" s="14">
        <f>IF(G23 = "x", C23*-1,C23*E23)</f>
        <v>3.6363636363636367</v>
      </c>
      <c r="I23" s="14">
        <f>H23+I21</f>
        <v>989.86346986346985</v>
      </c>
    </row>
    <row r="25" spans="1:9" x14ac:dyDescent="0.2">
      <c r="A25" s="6">
        <v>45314</v>
      </c>
      <c r="B25" s="12" t="s">
        <v>24</v>
      </c>
    </row>
    <row r="26" spans="1:9" x14ac:dyDescent="0.2">
      <c r="B26" s="12" t="s">
        <v>25</v>
      </c>
    </row>
    <row r="27" spans="1:9" x14ac:dyDescent="0.2">
      <c r="B27" s="12" t="s">
        <v>20</v>
      </c>
    </row>
    <row r="28" spans="1:9" x14ac:dyDescent="0.2">
      <c r="B28" s="12" t="s">
        <v>26</v>
      </c>
      <c r="C28" s="5">
        <v>10</v>
      </c>
      <c r="D28" s="2">
        <v>-208</v>
      </c>
      <c r="E28" s="3">
        <f>IF(D28&gt;0, ABS(D28/100), ABS(100/D28))</f>
        <v>0.48076923076923078</v>
      </c>
      <c r="F28" s="5" t="s">
        <v>9</v>
      </c>
      <c r="H28" s="14">
        <f>IF(G28 = "x", C28*-1,C28*E28)</f>
        <v>4.8076923076923075</v>
      </c>
      <c r="I28" s="14">
        <f>H28+I23</f>
        <v>994.67116217116211</v>
      </c>
    </row>
    <row r="30" spans="1:9" x14ac:dyDescent="0.2">
      <c r="A30" s="6">
        <v>45314</v>
      </c>
      <c r="B30" s="12" t="s">
        <v>27</v>
      </c>
      <c r="C30" s="5">
        <v>10</v>
      </c>
      <c r="D30" s="2">
        <v>-440</v>
      </c>
      <c r="E30" s="3">
        <f>IF(D30&gt;0, ABS(D30/100), ABS(100/D30))</f>
        <v>0.22727272727272727</v>
      </c>
      <c r="F30" s="5" t="s">
        <v>9</v>
      </c>
      <c r="H30" s="14">
        <f>IF(G30 = "x", C30*-1,C30*E30)</f>
        <v>2.2727272727272725</v>
      </c>
      <c r="I30" s="14">
        <f>H30+I28</f>
        <v>996.94388944388936</v>
      </c>
    </row>
    <row r="32" spans="1:9" x14ac:dyDescent="0.2">
      <c r="A32" s="6">
        <v>45314</v>
      </c>
      <c r="B32" s="12" t="s">
        <v>28</v>
      </c>
      <c r="C32" s="5">
        <v>10</v>
      </c>
      <c r="D32" s="2">
        <v>-160</v>
      </c>
      <c r="E32" s="3">
        <f>IF(D32&gt;0, ABS(D32/100), ABS(100/D32))</f>
        <v>0.625</v>
      </c>
      <c r="F32" s="5" t="s">
        <v>9</v>
      </c>
      <c r="H32" s="14">
        <f>IF(G32 = "x", C32*-1,C32*E32)</f>
        <v>6.25</v>
      </c>
      <c r="I32" s="14">
        <f>H32+I30</f>
        <v>1003.1938894438894</v>
      </c>
    </row>
    <row r="34" spans="1:9" x14ac:dyDescent="0.2">
      <c r="A34" s="6">
        <v>45314</v>
      </c>
      <c r="B34" s="12" t="s">
        <v>29</v>
      </c>
      <c r="C34" s="5">
        <v>10</v>
      </c>
      <c r="D34" s="2">
        <v>-175</v>
      </c>
      <c r="E34" s="3">
        <f>IF(D34&gt;0, ABS(D34/100), ABS(100/D34))</f>
        <v>0.5714285714285714</v>
      </c>
      <c r="F34" s="5" t="s">
        <v>9</v>
      </c>
      <c r="H34" s="14">
        <f>IF(G34 = "x", C34*-1,C34*E34)</f>
        <v>5.7142857142857135</v>
      </c>
      <c r="I34" s="14">
        <f>H34+I32</f>
        <v>1008.908175158175</v>
      </c>
    </row>
    <row r="36" spans="1:9" x14ac:dyDescent="0.2">
      <c r="A36" s="6">
        <v>45314</v>
      </c>
      <c r="B36" s="13" t="s">
        <v>30</v>
      </c>
      <c r="C36" s="5">
        <v>10</v>
      </c>
      <c r="D36" s="2">
        <v>-120</v>
      </c>
      <c r="E36" s="3">
        <f>IF(D36&gt;0, ABS(D36/100), ABS(100/D36))</f>
        <v>0.83333333333333337</v>
      </c>
      <c r="F36" s="5" t="s">
        <v>9</v>
      </c>
      <c r="H36" s="14">
        <f>IF(G36 = "x", C36*-1,C36*E36)</f>
        <v>8.3333333333333339</v>
      </c>
      <c r="I36" s="14">
        <f>H36+I34</f>
        <v>1017.2415084915084</v>
      </c>
    </row>
    <row r="38" spans="1:9" x14ac:dyDescent="0.2">
      <c r="A38" s="6">
        <v>45314</v>
      </c>
      <c r="B38" s="13" t="s">
        <v>31</v>
      </c>
      <c r="C38" s="5">
        <v>10</v>
      </c>
      <c r="D38" s="2">
        <v>-230</v>
      </c>
      <c r="E38" s="3">
        <f>IF(D38&gt;0, ABS(D38/100), ABS(100/D38))</f>
        <v>0.43478260869565216</v>
      </c>
      <c r="G38" s="5" t="s">
        <v>9</v>
      </c>
      <c r="H38" s="14">
        <f>IF(G38 = "x", C38*-1,C38*E38)</f>
        <v>-10</v>
      </c>
      <c r="I38" s="14">
        <f>H38+I36</f>
        <v>1007.2415084915084</v>
      </c>
    </row>
    <row r="40" spans="1:9" x14ac:dyDescent="0.2">
      <c r="A40" s="6">
        <v>45314</v>
      </c>
      <c r="B40" s="12" t="s">
        <v>32</v>
      </c>
      <c r="C40" s="5">
        <v>10</v>
      </c>
      <c r="D40" s="2">
        <v>-165</v>
      </c>
      <c r="E40" s="3">
        <f>IF(D40&gt;0, ABS(D40/100), ABS(100/D40))</f>
        <v>0.60606060606060608</v>
      </c>
      <c r="G40" s="5" t="s">
        <v>9</v>
      </c>
      <c r="H40" s="14">
        <f>IF(G40 = "x", C40*-1,C40*E40)</f>
        <v>-10</v>
      </c>
      <c r="I40" s="14">
        <f>H40+I38</f>
        <v>997.2415084915084</v>
      </c>
    </row>
    <row r="42" spans="1:9" x14ac:dyDescent="0.2">
      <c r="A42" s="6">
        <v>45314</v>
      </c>
      <c r="B42" s="12" t="s">
        <v>33</v>
      </c>
      <c r="C42" s="5">
        <v>10</v>
      </c>
      <c r="D42" s="2">
        <v>-260</v>
      </c>
      <c r="E42" s="3">
        <f>IF(D42&gt;0, ABS(D42/100), ABS(100/D42))</f>
        <v>0.38461538461538464</v>
      </c>
      <c r="F42" s="5" t="s">
        <v>9</v>
      </c>
      <c r="H42" s="14">
        <f>IF(G42 = "x", C42*-1,C42*E42)</f>
        <v>3.8461538461538463</v>
      </c>
      <c r="I42" s="15">
        <v>1008.91</v>
      </c>
    </row>
    <row r="44" spans="1:9" x14ac:dyDescent="0.2">
      <c r="A44" s="6">
        <v>45314</v>
      </c>
      <c r="B44" s="12" t="s">
        <v>34</v>
      </c>
    </row>
    <row r="45" spans="1:9" x14ac:dyDescent="0.2">
      <c r="B45" s="12" t="s">
        <v>35</v>
      </c>
    </row>
    <row r="46" spans="1:9" x14ac:dyDescent="0.2">
      <c r="B46" s="12" t="s">
        <v>36</v>
      </c>
    </row>
    <row r="47" spans="1:9" x14ac:dyDescent="0.2">
      <c r="B47" s="12" t="s">
        <v>37</v>
      </c>
    </row>
    <row r="48" spans="1:9" x14ac:dyDescent="0.2">
      <c r="B48" s="12" t="s">
        <v>27</v>
      </c>
      <c r="C48" s="5">
        <v>10</v>
      </c>
      <c r="D48" s="2">
        <v>124</v>
      </c>
      <c r="E48" s="3">
        <f>IF(D48&gt;0, ABS(D48/100), ABS(100/D48))</f>
        <v>1.24</v>
      </c>
      <c r="F48" s="5" t="s">
        <v>9</v>
      </c>
      <c r="H48" s="14">
        <f>IF(G48 = "x", C48*-1,C48*E48)</f>
        <v>12.4</v>
      </c>
      <c r="I48" s="14">
        <f>H48+I42</f>
        <v>1021.31</v>
      </c>
    </row>
    <row r="50" spans="1:9" x14ac:dyDescent="0.2">
      <c r="A50" s="6">
        <v>45315</v>
      </c>
      <c r="B50" s="12" t="s">
        <v>38</v>
      </c>
    </row>
    <row r="51" spans="1:9" x14ac:dyDescent="0.2">
      <c r="B51" s="12" t="s">
        <v>39</v>
      </c>
      <c r="C51" s="5">
        <v>10</v>
      </c>
      <c r="D51" s="2">
        <v>-352</v>
      </c>
      <c r="E51" s="3">
        <f>IF(D51&gt;0, ABS(D51/100), ABS(100/D51))</f>
        <v>0.28409090909090912</v>
      </c>
      <c r="G51" s="5" t="s">
        <v>9</v>
      </c>
      <c r="H51" s="14">
        <f>IF(G51 = "x", C51*-1,C51*E51)</f>
        <v>-10</v>
      </c>
      <c r="I51" s="14">
        <f>H51+I48</f>
        <v>1011.31</v>
      </c>
    </row>
    <row r="53" spans="1:9" x14ac:dyDescent="0.2">
      <c r="A53" s="6">
        <v>45315</v>
      </c>
      <c r="B53" s="12" t="s">
        <v>40</v>
      </c>
    </row>
    <row r="54" spans="1:9" x14ac:dyDescent="0.2">
      <c r="B54" s="12" t="s">
        <v>41</v>
      </c>
    </row>
    <row r="55" spans="1:9" x14ac:dyDescent="0.2">
      <c r="B55" s="12" t="s">
        <v>42</v>
      </c>
      <c r="C55" s="5">
        <v>10</v>
      </c>
      <c r="D55" s="2">
        <v>141</v>
      </c>
      <c r="E55" s="3">
        <f>IF(D55&gt;0, ABS(D55/100), ABS(100/D55))</f>
        <v>1.41</v>
      </c>
      <c r="G55" s="5" t="s">
        <v>9</v>
      </c>
      <c r="H55" s="14">
        <f>IF(G55 = "x", C55*-1,C55*E55)</f>
        <v>-10</v>
      </c>
      <c r="I55" s="14">
        <f>H55+I51</f>
        <v>1001.31</v>
      </c>
    </row>
    <row r="57" spans="1:9" x14ac:dyDescent="0.2">
      <c r="A57" s="6">
        <v>45324</v>
      </c>
      <c r="B57" s="12" t="s">
        <v>43</v>
      </c>
    </row>
    <row r="58" spans="1:9" x14ac:dyDescent="0.2">
      <c r="B58" s="12" t="s">
        <v>44</v>
      </c>
      <c r="C58" s="5">
        <v>10</v>
      </c>
      <c r="D58" s="2">
        <v>-315</v>
      </c>
      <c r="E58" s="3">
        <f>IF(D58&gt;0, ABS(D58/100), ABS(100/D58))</f>
        <v>0.31746031746031744</v>
      </c>
      <c r="G58" s="5" t="s">
        <v>9</v>
      </c>
      <c r="H58" s="14">
        <f>IF(G58 = "x", C58*-1,C58*E58)</f>
        <v>-10</v>
      </c>
      <c r="I58" s="14">
        <f>H58+I55</f>
        <v>991.31</v>
      </c>
    </row>
    <row r="60" spans="1:9" x14ac:dyDescent="0.2">
      <c r="A60" s="6">
        <v>45325</v>
      </c>
      <c r="B60" s="12" t="s">
        <v>45</v>
      </c>
    </row>
    <row r="61" spans="1:9" x14ac:dyDescent="0.2">
      <c r="B61" s="12" t="s">
        <v>46</v>
      </c>
      <c r="C61" s="5">
        <v>10</v>
      </c>
      <c r="D61" s="2">
        <v>-210</v>
      </c>
      <c r="E61" s="3">
        <f>IF(D61&gt;0, ABS(D61/100), ABS(100/D61))</f>
        <v>0.47619047619047616</v>
      </c>
      <c r="F61" s="5" t="s">
        <v>9</v>
      </c>
      <c r="H61" s="14">
        <f>IF(G61 = "x", C61*-1,C61*E61)</f>
        <v>4.7619047619047619</v>
      </c>
      <c r="I61" s="14">
        <f>H61+I58</f>
        <v>996.07190476190476</v>
      </c>
    </row>
    <row r="62" spans="1:9" x14ac:dyDescent="0.2">
      <c r="H62" s="14"/>
    </row>
    <row r="63" spans="1:9" x14ac:dyDescent="0.2">
      <c r="A63" s="6">
        <v>45325</v>
      </c>
      <c r="B63" s="12" t="s">
        <v>47</v>
      </c>
    </row>
    <row r="64" spans="1:9" x14ac:dyDescent="0.2">
      <c r="B64" s="12" t="s">
        <v>48</v>
      </c>
    </row>
    <row r="65" spans="1:9" x14ac:dyDescent="0.2">
      <c r="B65" s="12" t="s">
        <v>49</v>
      </c>
    </row>
    <row r="66" spans="1:9" x14ac:dyDescent="0.2">
      <c r="B66" s="12" t="s">
        <v>50</v>
      </c>
    </row>
    <row r="67" spans="1:9" x14ac:dyDescent="0.2">
      <c r="B67" s="12" t="s">
        <v>51</v>
      </c>
      <c r="C67" s="5">
        <v>10</v>
      </c>
      <c r="D67" s="2">
        <v>-364</v>
      </c>
      <c r="E67" s="3">
        <f>IF(D67&gt;0, ABS(D67/100), ABS(100/D67))</f>
        <v>0.27472527472527475</v>
      </c>
      <c r="F67" s="5" t="s">
        <v>9</v>
      </c>
      <c r="H67" s="14">
        <f>IF(G67 = "x", C67*-1,C67*E67)</f>
        <v>2.7472527472527473</v>
      </c>
      <c r="I67" s="14">
        <f>H67+I61</f>
        <v>998.81915750915755</v>
      </c>
    </row>
    <row r="69" spans="1:9" x14ac:dyDescent="0.2">
      <c r="A69" s="6">
        <v>45325</v>
      </c>
      <c r="B69" s="12" t="s">
        <v>52</v>
      </c>
    </row>
    <row r="70" spans="1:9" x14ac:dyDescent="0.2">
      <c r="B70" s="12" t="s">
        <v>53</v>
      </c>
      <c r="C70" s="5">
        <v>10</v>
      </c>
      <c r="D70" s="2">
        <v>107</v>
      </c>
      <c r="E70" s="3">
        <f>IF(D70&gt;0, ABS(D70/100), ABS(100/D70))</f>
        <v>1.07</v>
      </c>
      <c r="F70" s="5" t="s">
        <v>9</v>
      </c>
      <c r="H70" s="14">
        <f>IF(G70 = "x", C70*-1,C70*E70)</f>
        <v>10.700000000000001</v>
      </c>
      <c r="I70" s="14">
        <f>H70+I67</f>
        <v>1009.5191575091576</v>
      </c>
    </row>
    <row r="72" spans="1:9" x14ac:dyDescent="0.2">
      <c r="A72" s="6">
        <v>45325</v>
      </c>
      <c r="B72" s="12" t="s">
        <v>54</v>
      </c>
    </row>
    <row r="73" spans="1:9" x14ac:dyDescent="0.2">
      <c r="B73" s="12" t="s">
        <v>55</v>
      </c>
    </row>
    <row r="74" spans="1:9" x14ac:dyDescent="0.2">
      <c r="B74" s="12" t="s">
        <v>56</v>
      </c>
      <c r="C74" s="5">
        <v>10</v>
      </c>
      <c r="D74" s="2">
        <v>-121</v>
      </c>
      <c r="E74" s="3">
        <f>IF(D74&gt;0, ABS(D74/100), ABS(100/D74))</f>
        <v>0.82644628099173556</v>
      </c>
      <c r="G74" s="5" t="s">
        <v>9</v>
      </c>
      <c r="H74" s="14">
        <f>IF(G74 = "x", C74*-1,C74*E74)</f>
        <v>-10</v>
      </c>
      <c r="I74" s="14">
        <f>H74+I70</f>
        <v>999.51915750915759</v>
      </c>
    </row>
    <row r="76" spans="1:9" x14ac:dyDescent="0.2">
      <c r="A76" s="6">
        <v>45325</v>
      </c>
      <c r="B76" s="12" t="s">
        <v>57</v>
      </c>
    </row>
    <row r="77" spans="1:9" x14ac:dyDescent="0.2">
      <c r="B77" s="12" t="s">
        <v>58</v>
      </c>
    </row>
    <row r="78" spans="1:9" x14ac:dyDescent="0.2">
      <c r="B78" s="12" t="s">
        <v>11</v>
      </c>
    </row>
    <row r="79" spans="1:9" x14ac:dyDescent="0.2">
      <c r="B79" s="12" t="s">
        <v>59</v>
      </c>
      <c r="C79" s="5">
        <v>10</v>
      </c>
      <c r="D79" s="2">
        <v>-102</v>
      </c>
      <c r="E79" s="3">
        <f>IF(D79&gt;0, ABS(D79/100), ABS(100/D79))</f>
        <v>0.98039215686274506</v>
      </c>
      <c r="F79" s="5" t="s">
        <v>9</v>
      </c>
      <c r="H79" s="14">
        <f>IF(G79 = "x", C79*-1,C79*E79)</f>
        <v>9.8039215686274499</v>
      </c>
      <c r="I79" s="14">
        <f>H79+I74</f>
        <v>1009.323079077785</v>
      </c>
    </row>
    <row r="81" spans="1:9" x14ac:dyDescent="0.2">
      <c r="A81" s="6">
        <v>45326</v>
      </c>
      <c r="B81" s="12" t="s">
        <v>60</v>
      </c>
    </row>
    <row r="82" spans="1:9" x14ac:dyDescent="0.2">
      <c r="B82" s="12" t="s">
        <v>61</v>
      </c>
      <c r="C82" s="5">
        <v>10</v>
      </c>
      <c r="D82" s="2">
        <v>-145</v>
      </c>
      <c r="E82" s="3">
        <f>IF(D82&gt;0, ABS(D82/100), ABS(100/D82))</f>
        <v>0.68965517241379315</v>
      </c>
      <c r="F82" s="5" t="s">
        <v>9</v>
      </c>
      <c r="H82" s="14">
        <f>IF(G82 = "x", C82*-1,C82*E82)</f>
        <v>6.8965517241379315</v>
      </c>
      <c r="I82" s="14">
        <f>H82+I79</f>
        <v>1016.2196308019229</v>
      </c>
    </row>
    <row r="84" spans="1:9" x14ac:dyDescent="0.2">
      <c r="A84" s="6">
        <v>45329</v>
      </c>
      <c r="B84" s="12" t="s">
        <v>62</v>
      </c>
    </row>
    <row r="85" spans="1:9" x14ac:dyDescent="0.2">
      <c r="B85" s="12" t="s">
        <v>63</v>
      </c>
      <c r="C85" s="5">
        <v>10</v>
      </c>
      <c r="D85" s="2">
        <v>-105</v>
      </c>
      <c r="E85" s="3">
        <f>IF(D85&gt;0, ABS(D85/100), ABS(100/D85))</f>
        <v>0.95238095238095233</v>
      </c>
      <c r="F85" s="5" t="s">
        <v>9</v>
      </c>
      <c r="H85" s="14">
        <f>IF(G85 = "x", C85*-1,C85*E85)</f>
        <v>9.5238095238095237</v>
      </c>
      <c r="I85" s="14">
        <f>H85+I82</f>
        <v>1025.7434403257325</v>
      </c>
    </row>
    <row r="87" spans="1:9" x14ac:dyDescent="0.2">
      <c r="A87" s="6">
        <v>45331</v>
      </c>
      <c r="B87" s="12" t="s">
        <v>64</v>
      </c>
    </row>
    <row r="88" spans="1:9" x14ac:dyDescent="0.2">
      <c r="B88" s="12" t="s">
        <v>65</v>
      </c>
      <c r="C88" s="5">
        <v>10</v>
      </c>
      <c r="D88" s="2">
        <v>101</v>
      </c>
      <c r="E88" s="3">
        <f>IF(D88&gt;0, ABS(D88/100), ABS(100/D88))</f>
        <v>1.01</v>
      </c>
      <c r="F88" s="5" t="s">
        <v>9</v>
      </c>
      <c r="H88" s="14">
        <f>IF(G88 = "x", C88*-1,C88*E88)</f>
        <v>10.1</v>
      </c>
      <c r="I88" s="14">
        <f>H88+I85</f>
        <v>1035.8434403257324</v>
      </c>
    </row>
    <row r="90" spans="1:9" x14ac:dyDescent="0.2">
      <c r="A90" s="6">
        <v>45331</v>
      </c>
      <c r="B90" s="12" t="s">
        <v>66</v>
      </c>
      <c r="C90" s="5">
        <v>10</v>
      </c>
      <c r="D90" s="2">
        <v>-170</v>
      </c>
      <c r="E90" s="3">
        <f>IF(D90&gt;0, ABS(D90/100), ABS(100/D90))</f>
        <v>0.58823529411764708</v>
      </c>
      <c r="F90" s="5" t="s">
        <v>9</v>
      </c>
      <c r="H90" s="14">
        <f>IF(G90 = "x", C90*-1,C90*E90)</f>
        <v>5.882352941176471</v>
      </c>
      <c r="I90" s="14">
        <f>H90+I88</f>
        <v>1041.725793266909</v>
      </c>
    </row>
    <row r="92" spans="1:9" x14ac:dyDescent="0.2">
      <c r="A92" s="6">
        <v>45331</v>
      </c>
      <c r="B92" s="12" t="s">
        <v>67</v>
      </c>
    </row>
    <row r="93" spans="1:9" x14ac:dyDescent="0.2">
      <c r="B93" s="12" t="s">
        <v>68</v>
      </c>
      <c r="C93" s="5">
        <v>10</v>
      </c>
      <c r="D93" s="2">
        <v>209</v>
      </c>
      <c r="E93" s="3">
        <f>IF(D93&gt;0, ABS(D93/100), ABS(100/D93))</f>
        <v>2.09</v>
      </c>
      <c r="G93" s="5" t="s">
        <v>9</v>
      </c>
      <c r="H93" s="14">
        <f>IF(G93 = "x", C93*-1,C93*E93)</f>
        <v>-10</v>
      </c>
      <c r="I93" s="14">
        <f>H93+I90</f>
        <v>1031.725793266909</v>
      </c>
    </row>
    <row r="95" spans="1:9" x14ac:dyDescent="0.2">
      <c r="A95" s="6">
        <v>45331</v>
      </c>
      <c r="B95" s="12" t="s">
        <v>69</v>
      </c>
      <c r="C95" s="5">
        <v>10</v>
      </c>
      <c r="D95" s="2">
        <v>-140</v>
      </c>
      <c r="E95" s="3">
        <f>IF(D95&gt;0, ABS(D95/100), ABS(100/D95))</f>
        <v>0.7142857142857143</v>
      </c>
      <c r="F95" s="5" t="s">
        <v>9</v>
      </c>
      <c r="H95" s="14">
        <f>IF(G95 = "x", C95*-1,C95*E95)</f>
        <v>7.1428571428571432</v>
      </c>
      <c r="I95" s="14">
        <f>H95+I93</f>
        <v>1038.8686504097661</v>
      </c>
    </row>
    <row r="97" spans="1:9" x14ac:dyDescent="0.2">
      <c r="A97" s="6">
        <v>45331</v>
      </c>
      <c r="B97" s="12" t="s">
        <v>70</v>
      </c>
    </row>
    <row r="98" spans="1:9" x14ac:dyDescent="0.2">
      <c r="B98" s="12" t="s">
        <v>71</v>
      </c>
      <c r="C98" s="5">
        <v>10</v>
      </c>
      <c r="D98" s="2">
        <v>-120</v>
      </c>
      <c r="E98" s="3">
        <f>IF(D98&gt;0, ABS(D98/100), ABS(100/D98))</f>
        <v>0.83333333333333337</v>
      </c>
      <c r="F98" s="5" t="s">
        <v>9</v>
      </c>
      <c r="H98" s="14">
        <f>IF(G98 = "x", C98*-1,C98*E98)</f>
        <v>8.3333333333333339</v>
      </c>
      <c r="I98" s="14">
        <f>H98+I95</f>
        <v>1047.2019837430994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Sambhav Upadhyay</dc:creator>
  <cp:lastModifiedBy>Sambhav Upadhyay</cp:lastModifiedBy>
  <dcterms:created xsi:type="dcterms:W3CDTF">2024-02-18T18:49:33Z</dcterms:created>
  <dcterms:modified xsi:type="dcterms:W3CDTF">2024-02-19T01:53:24Z</dcterms:modified>
</cp:coreProperties>
</file>