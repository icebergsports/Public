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me/Documents/Iceberg/"/>
    </mc:Choice>
  </mc:AlternateContent>
  <xr:revisionPtr revIDLastSave="0" documentId="13_ncr:1_{74AD7C72-010B-EE42-90DC-88B0B5A387AC}" xr6:coauthVersionLast="47" xr6:coauthVersionMax="47" xr10:uidLastSave="{00000000-0000-0000-0000-000000000000}"/>
  <bookViews>
    <workbookView xWindow="340" yWindow="560" windowWidth="27640" windowHeight="15760" xr2:uid="{CFA45BF9-1545-A147-BE6B-DA20227BFE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1" l="1"/>
  <c r="J42" i="1"/>
  <c r="J43" i="1"/>
  <c r="J44" i="1"/>
  <c r="F44" i="1"/>
  <c r="I44" i="1" s="1"/>
  <c r="F43" i="1"/>
  <c r="I43" i="1" s="1"/>
  <c r="F42" i="1"/>
  <c r="I42" i="1"/>
  <c r="F41" i="1"/>
  <c r="I41" i="1"/>
  <c r="F40" i="1"/>
  <c r="I40" i="1" s="1"/>
  <c r="F39" i="1"/>
  <c r="I39" i="1" s="1"/>
  <c r="J39" i="1" s="1"/>
  <c r="J40" i="1" s="1"/>
  <c r="J36" i="1"/>
  <c r="J37" i="1"/>
  <c r="J38" i="1" s="1"/>
  <c r="F38" i="1"/>
  <c r="I38" i="1" s="1"/>
  <c r="F37" i="1"/>
  <c r="I37" i="1"/>
  <c r="F36" i="1"/>
  <c r="I36" i="1" s="1"/>
  <c r="F35" i="1"/>
  <c r="I35" i="1" s="1"/>
  <c r="J35" i="1" s="1"/>
  <c r="C4" i="1"/>
  <c r="C5" i="1"/>
  <c r="I25" i="1"/>
  <c r="I26" i="1"/>
  <c r="I27" i="1"/>
  <c r="I28" i="1"/>
  <c r="I29" i="1"/>
  <c r="I30" i="1"/>
  <c r="I31" i="1"/>
  <c r="I32" i="1"/>
  <c r="I33" i="1"/>
  <c r="I34" i="1"/>
  <c r="F24" i="1"/>
  <c r="F25" i="1"/>
  <c r="F26" i="1"/>
  <c r="F27" i="1"/>
  <c r="F28" i="1"/>
  <c r="F29" i="1"/>
  <c r="F30" i="1"/>
  <c r="F31" i="1"/>
  <c r="F32" i="1"/>
  <c r="F33" i="1"/>
  <c r="F34" i="1"/>
  <c r="J14" i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13" i="1"/>
  <c r="I24" i="1"/>
  <c r="F13" i="1"/>
  <c r="I13" i="1" s="1"/>
  <c r="F14" i="1"/>
  <c r="I14" i="1" s="1"/>
  <c r="F15" i="1"/>
  <c r="I15" i="1" s="1"/>
  <c r="F16" i="1"/>
  <c r="I16" i="1" s="1"/>
  <c r="F17" i="1"/>
  <c r="I17" i="1" s="1"/>
  <c r="F18" i="1"/>
  <c r="I18" i="1" s="1"/>
  <c r="F19" i="1"/>
  <c r="I19" i="1" s="1"/>
  <c r="F20" i="1"/>
  <c r="I20" i="1" s="1"/>
  <c r="F21" i="1"/>
  <c r="I21" i="1"/>
  <c r="F22" i="1"/>
  <c r="I22" i="1" s="1"/>
  <c r="F23" i="1"/>
  <c r="I23" i="1" s="1"/>
  <c r="F12" i="1"/>
  <c r="I12" i="1" s="1"/>
  <c r="J12" i="1" s="1"/>
  <c r="J28" i="1" l="1"/>
  <c r="J29" i="1" s="1"/>
  <c r="J30" i="1" s="1"/>
  <c r="J31" i="1" s="1"/>
  <c r="J32" i="1" s="1"/>
  <c r="J33" i="1" s="1"/>
  <c r="J34" i="1" s="1"/>
  <c r="C6" i="1"/>
</calcChain>
</file>

<file path=xl/sharedStrings.xml><?xml version="1.0" encoding="utf-8"?>
<sst xmlns="http://schemas.openxmlformats.org/spreadsheetml/2006/main" count="80" uniqueCount="48">
  <si>
    <t xml:space="preserve">Bet Name </t>
  </si>
  <si>
    <t>Date</t>
  </si>
  <si>
    <t>Odds</t>
  </si>
  <si>
    <t>Hit</t>
  </si>
  <si>
    <t>Miss</t>
  </si>
  <si>
    <t>Return</t>
  </si>
  <si>
    <t>Wager</t>
  </si>
  <si>
    <t xml:space="preserve">Capital </t>
  </si>
  <si>
    <t>Starting capital</t>
  </si>
  <si>
    <t>Game Date</t>
  </si>
  <si>
    <t>Devin Booker to have alteast  30 points</t>
  </si>
  <si>
    <t>Luka Doncic at least 29 points</t>
  </si>
  <si>
    <t>Max Strus at least 11 points</t>
  </si>
  <si>
    <t xml:space="preserve">RJ Barret atleast 21 points </t>
  </si>
  <si>
    <t>Donovan Mitchell atleast 24 points</t>
  </si>
  <si>
    <t>Mikal Bridges atleast 22 points</t>
  </si>
  <si>
    <t>Grayson Allen atleast 13 poitns</t>
  </si>
  <si>
    <t>Kevin Durant atleast 28 points</t>
  </si>
  <si>
    <t>Aaron Gordon atleast 15 points</t>
  </si>
  <si>
    <t>Jordan Poole atleast 18 points</t>
  </si>
  <si>
    <t>Kyle Kuzma atleast 21 points</t>
  </si>
  <si>
    <t>Klay Thompson atleat 15 points</t>
  </si>
  <si>
    <t>Draymond Green atleast 11 points</t>
  </si>
  <si>
    <t>x</t>
  </si>
  <si>
    <t>Malik Beasley over 10.5 points</t>
  </si>
  <si>
    <t>Rudy Gobert Under 14.5 points</t>
  </si>
  <si>
    <t>Jaden McDaniels under 10.5 points</t>
  </si>
  <si>
    <t>Devin Vassell under 20.5 points</t>
  </si>
  <si>
    <t>Harrison Barnes over 13.5 points</t>
  </si>
  <si>
    <t>Keldon Johnson over 12.5 points</t>
  </si>
  <si>
    <t>wins</t>
  </si>
  <si>
    <t>loss</t>
  </si>
  <si>
    <t>winning percentage</t>
  </si>
  <si>
    <t>Grant Williams under 13.5 points</t>
  </si>
  <si>
    <t>Klay Thompson over 14.5 points</t>
  </si>
  <si>
    <t>Seth Curry under 8.5 points</t>
  </si>
  <si>
    <t>Zach collins over 7.5 points</t>
  </si>
  <si>
    <t>Net Payout</t>
  </si>
  <si>
    <t>Caleb Martin under 13.5 points</t>
  </si>
  <si>
    <t>Duncan Robinson under 17.5 points</t>
  </si>
  <si>
    <t>Keegan Murray over 13.5 points</t>
  </si>
  <si>
    <t>Malik Monk under 16.5 points</t>
  </si>
  <si>
    <t>steph curry over 26.5 points</t>
  </si>
  <si>
    <t>jayson tatum under 29.5 points</t>
  </si>
  <si>
    <t>draymond green over 6.5 points</t>
  </si>
  <si>
    <t>chris paul over  8.5 points</t>
  </si>
  <si>
    <t>moses moody under 11.5 points</t>
  </si>
  <si>
    <t>al horford under 9.5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</si>
</sst>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8" fontId="6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9" fontId="7" fillId="0" borderId="0" xfId="0" applyNumberFormat="1" applyFont="1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54F80-2E6D-9B4E-A7D2-1EA8CC0D96DB}">
  <dimension ref="A1:J101"/>
  <sheetViews>
    <sheetView tabSelected="1" zoomScaleNormal="100" workbookViewId="0">
      <selection activeCell="J44" sqref="J44"/>
    </sheetView>
  </sheetViews>
  <sheetFormatPr baseColWidth="10" defaultRowHeight="16" x14ac:dyDescent="0.2"/>
  <cols>
    <col min="1" max="2" width="18.33203125" style="2" customWidth="1"/>
    <col min="3" max="3" width="33.6640625" style="12" bestFit="1" customWidth="1"/>
    <col min="4" max="4" width="10.83203125" style="5"/>
    <col min="5" max="5" width="20.5" style="5" customWidth="1"/>
    <col min="6" max="6" width="20.5" style="2" customWidth="1"/>
    <col min="7" max="8" width="10.83203125" style="5"/>
    <col min="9" max="9" width="10.83203125" style="15"/>
    <col min="10" max="10" width="11.6640625" style="15" bestFit="1" customWidth="1"/>
    <col min="11" max="16384" width="10.83203125" style="2"/>
  </cols>
  <sheetData>
    <row r="1" spans="1:10" x14ac:dyDescent="0.2">
      <c r="E1" s="2"/>
      <c r="I1" s="2"/>
      <c r="J1" s="2"/>
    </row>
    <row r="2" spans="1:10" x14ac:dyDescent="0.2">
      <c r="E2" s="2"/>
      <c r="I2" s="2"/>
      <c r="J2" s="2"/>
    </row>
    <row r="3" spans="1:10" x14ac:dyDescent="0.2">
      <c r="A3" s="2" t="s">
        <v>8</v>
      </c>
      <c r="C3" s="10">
        <v>1000</v>
      </c>
      <c r="E3" s="2"/>
      <c r="I3" s="2"/>
      <c r="J3" s="2"/>
    </row>
    <row r="4" spans="1:10" x14ac:dyDescent="0.2">
      <c r="A4" s="2" t="s">
        <v>30</v>
      </c>
      <c r="C4" s="17">
        <f>COUNTIF(G12:G131,"x")</f>
        <v>20</v>
      </c>
      <c r="E4" s="2"/>
      <c r="I4" s="2"/>
      <c r="J4" s="2"/>
    </row>
    <row r="5" spans="1:10" x14ac:dyDescent="0.2">
      <c r="A5" s="2" t="s">
        <v>31</v>
      </c>
      <c r="C5" s="17">
        <f>COUNTIF(H12:H131,"x")</f>
        <v>13</v>
      </c>
      <c r="E5" s="2"/>
      <c r="I5" s="2"/>
      <c r="J5" s="2"/>
    </row>
    <row r="6" spans="1:10" x14ac:dyDescent="0.2">
      <c r="A6" s="2" t="s">
        <v>32</v>
      </c>
      <c r="C6" s="18">
        <f>C4/(C5+C4)</f>
        <v>0.60606060606060608</v>
      </c>
      <c r="E6" s="2"/>
      <c r="I6" s="2"/>
      <c r="J6" s="2"/>
    </row>
    <row r="7" spans="1:10" x14ac:dyDescent="0.2">
      <c r="E7" s="2"/>
      <c r="I7" s="2"/>
      <c r="J7" s="2"/>
    </row>
    <row r="8" spans="1:10" s="1" customFormat="1" x14ac:dyDescent="0.2">
      <c r="A8" s="4" t="s">
        <v>1</v>
      </c>
      <c r="B8" s="4" t="s">
        <v>9</v>
      </c>
      <c r="C8" s="4" t="s">
        <v>0</v>
      </c>
      <c r="D8" s="9" t="s">
        <v>6</v>
      </c>
      <c r="E8" s="4" t="s">
        <v>2</v>
      </c>
      <c r="F8" s="4" t="s">
        <v>5</v>
      </c>
      <c r="G8" s="9" t="s">
        <v>3</v>
      </c>
      <c r="H8" s="9" t="s">
        <v>4</v>
      </c>
      <c r="I8" s="4" t="s">
        <v>37</v>
      </c>
      <c r="J8" s="4" t="s">
        <v>7</v>
      </c>
    </row>
    <row r="9" spans="1:10" s="1" customFormat="1" x14ac:dyDescent="0.2">
      <c r="A9" s="7"/>
      <c r="B9" s="7"/>
      <c r="C9" s="11"/>
      <c r="D9" s="8"/>
      <c r="E9" s="7"/>
      <c r="F9" s="7"/>
      <c r="G9" s="8"/>
      <c r="H9" s="8"/>
      <c r="I9" s="7"/>
      <c r="J9" s="7"/>
    </row>
    <row r="10" spans="1:10" x14ac:dyDescent="0.2">
      <c r="A10" s="6"/>
      <c r="B10" s="6"/>
      <c r="E10" s="2"/>
      <c r="F10" s="3"/>
      <c r="I10" s="2"/>
      <c r="J10" s="2"/>
    </row>
    <row r="11" spans="1:10" x14ac:dyDescent="0.2">
      <c r="E11" s="2"/>
      <c r="F11" s="3"/>
      <c r="I11" s="2"/>
      <c r="J11" s="2"/>
    </row>
    <row r="12" spans="1:10" x14ac:dyDescent="0.2">
      <c r="A12" s="6">
        <v>45341</v>
      </c>
      <c r="B12" s="14">
        <v>45344</v>
      </c>
      <c r="C12" s="12" t="s">
        <v>15</v>
      </c>
      <c r="D12" s="5">
        <v>10</v>
      </c>
      <c r="E12" s="5">
        <v>-164</v>
      </c>
      <c r="F12" s="3">
        <f>IF(E12&gt;0, ABS(E12/100), ABS(100/E12))</f>
        <v>0.6097560975609756</v>
      </c>
      <c r="H12" s="5" t="s">
        <v>23</v>
      </c>
      <c r="I12" s="15">
        <f>IF(H12 = "x", D12*-1,D12*F12)</f>
        <v>-10</v>
      </c>
      <c r="J12" s="15">
        <f>C3+I12</f>
        <v>990</v>
      </c>
    </row>
    <row r="13" spans="1:10" x14ac:dyDescent="0.2">
      <c r="A13" s="6">
        <v>45341</v>
      </c>
      <c r="B13" s="14">
        <v>45344</v>
      </c>
      <c r="C13" s="12" t="s">
        <v>14</v>
      </c>
      <c r="D13" s="5">
        <v>10</v>
      </c>
      <c r="E13" s="5">
        <v>-178</v>
      </c>
      <c r="F13" s="3">
        <f t="shared" ref="F13:F45" si="0">IF(E13&gt;0, ABS(E13/100), ABS(100/E13))</f>
        <v>0.5617977528089888</v>
      </c>
      <c r="G13" s="5" t="s">
        <v>23</v>
      </c>
      <c r="I13" s="15">
        <f t="shared" ref="I13:I44" si="1">IF(H13 = "x", D13*-1,D13*F13)</f>
        <v>5.617977528089888</v>
      </c>
      <c r="J13" s="15">
        <f>I13+J12</f>
        <v>995.61797752808991</v>
      </c>
    </row>
    <row r="14" spans="1:10" x14ac:dyDescent="0.2">
      <c r="A14" s="6">
        <v>45341</v>
      </c>
      <c r="B14" s="14">
        <v>45344</v>
      </c>
      <c r="C14" s="12" t="s">
        <v>13</v>
      </c>
      <c r="D14" s="5">
        <v>10</v>
      </c>
      <c r="E14" s="5">
        <v>-114</v>
      </c>
      <c r="F14" s="3">
        <f t="shared" si="0"/>
        <v>0.8771929824561403</v>
      </c>
      <c r="H14" s="5" t="s">
        <v>23</v>
      </c>
      <c r="I14" s="15">
        <f t="shared" si="1"/>
        <v>-10</v>
      </c>
      <c r="J14" s="15">
        <f t="shared" ref="J14:J30" si="2">I14+J13</f>
        <v>985.61797752808991</v>
      </c>
    </row>
    <row r="15" spans="1:10" x14ac:dyDescent="0.2">
      <c r="A15" s="6">
        <v>45341</v>
      </c>
      <c r="B15" s="14">
        <v>45344</v>
      </c>
      <c r="C15" s="12" t="s">
        <v>12</v>
      </c>
      <c r="D15" s="5">
        <v>10</v>
      </c>
      <c r="E15" s="5">
        <v>123</v>
      </c>
      <c r="F15" s="3">
        <f t="shared" si="0"/>
        <v>1.23</v>
      </c>
      <c r="G15" s="5" t="s">
        <v>23</v>
      </c>
      <c r="I15" s="15">
        <f t="shared" si="1"/>
        <v>12.3</v>
      </c>
      <c r="J15" s="15">
        <f t="shared" si="2"/>
        <v>997.91797752808986</v>
      </c>
    </row>
    <row r="16" spans="1:10" x14ac:dyDescent="0.2">
      <c r="A16" s="6">
        <v>45341</v>
      </c>
      <c r="B16" s="14">
        <v>45344</v>
      </c>
      <c r="C16" s="12" t="s">
        <v>11</v>
      </c>
      <c r="D16" s="5">
        <v>10</v>
      </c>
      <c r="E16" s="5">
        <v>-157</v>
      </c>
      <c r="F16" s="3">
        <f t="shared" si="0"/>
        <v>0.63694267515923564</v>
      </c>
      <c r="G16" s="5" t="s">
        <v>23</v>
      </c>
      <c r="I16" s="15">
        <f t="shared" si="1"/>
        <v>6.3694267515923562</v>
      </c>
      <c r="J16" s="15">
        <f t="shared" si="2"/>
        <v>1004.2874042796822</v>
      </c>
    </row>
    <row r="17" spans="1:10" x14ac:dyDescent="0.2">
      <c r="A17" s="6">
        <v>45341</v>
      </c>
      <c r="B17" s="14">
        <v>45344</v>
      </c>
      <c r="C17" s="13" t="s">
        <v>10</v>
      </c>
      <c r="D17" s="5">
        <v>10</v>
      </c>
      <c r="E17" s="5">
        <v>116</v>
      </c>
      <c r="F17" s="3">
        <f t="shared" si="0"/>
        <v>1.1599999999999999</v>
      </c>
      <c r="G17" s="5" t="s">
        <v>23</v>
      </c>
      <c r="I17" s="15">
        <f t="shared" si="1"/>
        <v>11.6</v>
      </c>
      <c r="J17" s="15">
        <f t="shared" si="2"/>
        <v>1015.8874042796822</v>
      </c>
    </row>
    <row r="18" spans="1:10" x14ac:dyDescent="0.2">
      <c r="A18" s="6">
        <v>45341</v>
      </c>
      <c r="B18" s="14">
        <v>45344</v>
      </c>
      <c r="C18" s="12" t="s">
        <v>16</v>
      </c>
      <c r="D18" s="5">
        <v>10</v>
      </c>
      <c r="E18" s="5">
        <v>125</v>
      </c>
      <c r="F18" s="3">
        <f t="shared" si="0"/>
        <v>1.25</v>
      </c>
      <c r="H18" s="5" t="s">
        <v>23</v>
      </c>
      <c r="I18" s="15">
        <f t="shared" si="1"/>
        <v>-10</v>
      </c>
      <c r="J18" s="15">
        <f t="shared" si="2"/>
        <v>1005.8874042796822</v>
      </c>
    </row>
    <row r="19" spans="1:10" x14ac:dyDescent="0.2">
      <c r="A19" s="6">
        <v>45341</v>
      </c>
      <c r="B19" s="14">
        <v>45344</v>
      </c>
      <c r="C19" s="12" t="s">
        <v>17</v>
      </c>
      <c r="D19" s="5">
        <v>10</v>
      </c>
      <c r="E19" s="5">
        <v>123</v>
      </c>
      <c r="F19" s="3">
        <f t="shared" si="0"/>
        <v>1.23</v>
      </c>
      <c r="H19" s="5" t="s">
        <v>23</v>
      </c>
      <c r="I19" s="15">
        <f t="shared" si="1"/>
        <v>-10</v>
      </c>
      <c r="J19" s="15">
        <f t="shared" si="2"/>
        <v>995.88740427968219</v>
      </c>
    </row>
    <row r="20" spans="1:10" x14ac:dyDescent="0.2">
      <c r="A20" s="6">
        <v>45341</v>
      </c>
      <c r="B20" s="14">
        <v>45344</v>
      </c>
      <c r="C20" s="12" t="s">
        <v>18</v>
      </c>
      <c r="D20" s="5">
        <v>10</v>
      </c>
      <c r="E20" s="5">
        <v>-115</v>
      </c>
      <c r="F20" s="3">
        <f t="shared" si="0"/>
        <v>0.86956521739130432</v>
      </c>
      <c r="G20" s="5" t="s">
        <v>23</v>
      </c>
      <c r="I20" s="15">
        <f t="shared" si="1"/>
        <v>8.695652173913043</v>
      </c>
      <c r="J20" s="15">
        <f t="shared" si="2"/>
        <v>1004.5830564535952</v>
      </c>
    </row>
    <row r="21" spans="1:10" x14ac:dyDescent="0.2">
      <c r="A21" s="6">
        <v>45341</v>
      </c>
      <c r="B21" s="14">
        <v>45344</v>
      </c>
      <c r="C21" s="12" t="s">
        <v>19</v>
      </c>
      <c r="D21" s="5">
        <v>10</v>
      </c>
      <c r="E21" s="5">
        <v>152</v>
      </c>
      <c r="F21" s="3">
        <f t="shared" si="0"/>
        <v>1.52</v>
      </c>
      <c r="G21" s="5" t="s">
        <v>23</v>
      </c>
      <c r="I21" s="15">
        <f t="shared" si="1"/>
        <v>15.2</v>
      </c>
      <c r="J21" s="15">
        <f t="shared" si="2"/>
        <v>1019.7830564535952</v>
      </c>
    </row>
    <row r="22" spans="1:10" x14ac:dyDescent="0.2">
      <c r="A22" s="6">
        <v>45341</v>
      </c>
      <c r="B22" s="14">
        <v>45344</v>
      </c>
      <c r="C22" s="12" t="s">
        <v>20</v>
      </c>
      <c r="D22" s="5">
        <v>10</v>
      </c>
      <c r="E22" s="5">
        <v>114</v>
      </c>
      <c r="F22" s="3">
        <f t="shared" si="0"/>
        <v>1.1399999999999999</v>
      </c>
      <c r="G22" s="5" t="s">
        <v>23</v>
      </c>
      <c r="I22" s="15">
        <f t="shared" si="1"/>
        <v>11.399999999999999</v>
      </c>
      <c r="J22" s="15">
        <f t="shared" si="2"/>
        <v>1031.1830564535953</v>
      </c>
    </row>
    <row r="23" spans="1:10" x14ac:dyDescent="0.2">
      <c r="A23" s="6">
        <v>45341</v>
      </c>
      <c r="B23" s="14">
        <v>45344</v>
      </c>
      <c r="C23" s="12" t="s">
        <v>21</v>
      </c>
      <c r="D23" s="5">
        <v>10</v>
      </c>
      <c r="E23" s="5">
        <v>-173</v>
      </c>
      <c r="F23" s="3">
        <f t="shared" si="0"/>
        <v>0.5780346820809249</v>
      </c>
      <c r="H23" s="5" t="s">
        <v>23</v>
      </c>
      <c r="I23" s="15">
        <f t="shared" si="1"/>
        <v>-10</v>
      </c>
      <c r="J23" s="15">
        <f t="shared" si="2"/>
        <v>1021.1830564535953</v>
      </c>
    </row>
    <row r="24" spans="1:10" x14ac:dyDescent="0.2">
      <c r="A24" s="6">
        <v>45341</v>
      </c>
      <c r="B24" s="14">
        <v>45344</v>
      </c>
      <c r="C24" s="12" t="s">
        <v>22</v>
      </c>
      <c r="D24" s="5">
        <v>10</v>
      </c>
      <c r="E24" s="5">
        <v>-121</v>
      </c>
      <c r="F24" s="3">
        <f t="shared" si="0"/>
        <v>0.82644628099173556</v>
      </c>
      <c r="H24" s="5" t="s">
        <v>23</v>
      </c>
      <c r="I24" s="15">
        <f t="shared" si="1"/>
        <v>-10</v>
      </c>
      <c r="J24" s="15">
        <f t="shared" si="2"/>
        <v>1011.1830564535953</v>
      </c>
    </row>
    <row r="25" spans="1:10" x14ac:dyDescent="0.2">
      <c r="A25" s="6">
        <v>45344</v>
      </c>
      <c r="B25" s="14">
        <v>45344</v>
      </c>
      <c r="C25" s="12" t="s">
        <v>27</v>
      </c>
      <c r="D25" s="5">
        <v>10</v>
      </c>
      <c r="E25" s="5">
        <v>-105</v>
      </c>
      <c r="F25" s="3">
        <f t="shared" si="0"/>
        <v>0.95238095238095233</v>
      </c>
      <c r="H25" s="5" t="s">
        <v>23</v>
      </c>
      <c r="I25" s="15">
        <f t="shared" si="1"/>
        <v>-10</v>
      </c>
      <c r="J25" s="15">
        <f t="shared" si="2"/>
        <v>1001.1830564535953</v>
      </c>
    </row>
    <row r="26" spans="1:10" x14ac:dyDescent="0.2">
      <c r="A26" s="6">
        <v>45344</v>
      </c>
      <c r="B26" s="14">
        <v>45344</v>
      </c>
      <c r="C26" s="12" t="s">
        <v>28</v>
      </c>
      <c r="D26" s="5">
        <v>10</v>
      </c>
      <c r="E26" s="5">
        <v>-105</v>
      </c>
      <c r="F26" s="3">
        <f t="shared" si="0"/>
        <v>0.95238095238095233</v>
      </c>
      <c r="H26" s="5" t="s">
        <v>23</v>
      </c>
      <c r="I26" s="15">
        <f t="shared" si="1"/>
        <v>-10</v>
      </c>
      <c r="J26" s="15">
        <f t="shared" si="2"/>
        <v>991.18305645359533</v>
      </c>
    </row>
    <row r="27" spans="1:10" x14ac:dyDescent="0.2">
      <c r="A27" s="6">
        <v>45344</v>
      </c>
      <c r="B27" s="14">
        <v>45344</v>
      </c>
      <c r="C27" s="12" t="s">
        <v>29</v>
      </c>
      <c r="D27" s="5">
        <v>10</v>
      </c>
      <c r="E27" s="5">
        <v>-135</v>
      </c>
      <c r="F27" s="3">
        <f t="shared" si="0"/>
        <v>0.7407407407407407</v>
      </c>
      <c r="G27" s="5" t="s">
        <v>23</v>
      </c>
      <c r="I27" s="15">
        <f t="shared" si="1"/>
        <v>7.4074074074074066</v>
      </c>
      <c r="J27" s="15">
        <f t="shared" si="2"/>
        <v>998.59046386100272</v>
      </c>
    </row>
    <row r="28" spans="1:10" x14ac:dyDescent="0.2">
      <c r="A28" s="6">
        <v>45344</v>
      </c>
      <c r="B28" s="14">
        <v>45345</v>
      </c>
      <c r="C28" s="12" t="s">
        <v>24</v>
      </c>
      <c r="D28" s="5">
        <v>10</v>
      </c>
      <c r="E28" s="5">
        <v>-125</v>
      </c>
      <c r="F28" s="3">
        <f t="shared" si="0"/>
        <v>0.8</v>
      </c>
      <c r="G28" s="5" t="s">
        <v>23</v>
      </c>
      <c r="I28" s="15">
        <f t="shared" si="1"/>
        <v>8</v>
      </c>
      <c r="J28" s="15">
        <f t="shared" si="2"/>
        <v>1006.5904638610027</v>
      </c>
    </row>
    <row r="29" spans="1:10" x14ac:dyDescent="0.2">
      <c r="A29" s="6">
        <v>45344</v>
      </c>
      <c r="B29" s="14">
        <v>45345</v>
      </c>
      <c r="C29" s="12" t="s">
        <v>25</v>
      </c>
      <c r="D29" s="5">
        <v>10</v>
      </c>
      <c r="E29" s="5">
        <v>-115</v>
      </c>
      <c r="F29" s="3">
        <f t="shared" si="0"/>
        <v>0.86956521739130432</v>
      </c>
      <c r="G29" s="5" t="s">
        <v>23</v>
      </c>
      <c r="I29" s="15">
        <f t="shared" si="1"/>
        <v>8.695652173913043</v>
      </c>
      <c r="J29" s="15">
        <f t="shared" si="2"/>
        <v>1015.2861160349157</v>
      </c>
    </row>
    <row r="30" spans="1:10" x14ac:dyDescent="0.2">
      <c r="A30" s="6">
        <v>45344</v>
      </c>
      <c r="B30" s="14">
        <v>45345</v>
      </c>
      <c r="C30" s="12" t="s">
        <v>26</v>
      </c>
      <c r="D30" s="5">
        <v>10</v>
      </c>
      <c r="E30" s="5">
        <v>-125</v>
      </c>
      <c r="F30" s="3">
        <f t="shared" si="0"/>
        <v>0.8</v>
      </c>
      <c r="G30" s="5" t="s">
        <v>23</v>
      </c>
      <c r="I30" s="15">
        <f t="shared" si="1"/>
        <v>8</v>
      </c>
      <c r="J30" s="15">
        <f t="shared" si="2"/>
        <v>1023.2861160349157</v>
      </c>
    </row>
    <row r="31" spans="1:10" x14ac:dyDescent="0.2">
      <c r="A31" s="6">
        <v>45345</v>
      </c>
      <c r="B31" s="14">
        <v>45345</v>
      </c>
      <c r="C31" s="19" t="s">
        <v>33</v>
      </c>
      <c r="D31" s="5">
        <v>10</v>
      </c>
      <c r="E31" s="5">
        <v>-140</v>
      </c>
      <c r="F31" s="3">
        <f t="shared" si="0"/>
        <v>0.7142857142857143</v>
      </c>
      <c r="G31" s="5" t="s">
        <v>23</v>
      </c>
      <c r="I31" s="15">
        <f t="shared" si="1"/>
        <v>7.1428571428571432</v>
      </c>
      <c r="J31" s="15">
        <f t="shared" ref="J31:J44" si="3">I31+J30</f>
        <v>1030.4289731777728</v>
      </c>
    </row>
    <row r="32" spans="1:10" x14ac:dyDescent="0.2">
      <c r="A32" s="6">
        <v>45345</v>
      </c>
      <c r="B32" s="14">
        <v>45345</v>
      </c>
      <c r="C32" s="19" t="s">
        <v>34</v>
      </c>
      <c r="D32" s="5">
        <v>10</v>
      </c>
      <c r="E32" s="5">
        <v>-110</v>
      </c>
      <c r="F32" s="3">
        <f t="shared" si="0"/>
        <v>0.90909090909090906</v>
      </c>
      <c r="H32" s="5" t="s">
        <v>23</v>
      </c>
      <c r="I32" s="15">
        <f t="shared" si="1"/>
        <v>-10</v>
      </c>
      <c r="J32" s="15">
        <f t="shared" si="3"/>
        <v>1020.4289731777728</v>
      </c>
    </row>
    <row r="33" spans="1:10" x14ac:dyDescent="0.2">
      <c r="A33" s="6">
        <v>45345</v>
      </c>
      <c r="B33" s="14">
        <v>45345</v>
      </c>
      <c r="C33" s="12" t="s">
        <v>35</v>
      </c>
      <c r="D33" s="5">
        <v>10</v>
      </c>
      <c r="E33" s="5">
        <v>-130</v>
      </c>
      <c r="F33" s="3">
        <f t="shared" si="0"/>
        <v>0.76923076923076927</v>
      </c>
      <c r="G33" s="5" t="s">
        <v>23</v>
      </c>
      <c r="I33" s="15">
        <f t="shared" si="1"/>
        <v>7.6923076923076925</v>
      </c>
      <c r="J33" s="15">
        <f t="shared" si="3"/>
        <v>1028.1212808700805</v>
      </c>
    </row>
    <row r="34" spans="1:10" x14ac:dyDescent="0.2">
      <c r="A34" s="6">
        <v>45345</v>
      </c>
      <c r="B34" s="14">
        <v>45345</v>
      </c>
      <c r="C34" s="12" t="s">
        <v>36</v>
      </c>
      <c r="D34" s="5">
        <v>10</v>
      </c>
      <c r="E34" s="5">
        <v>-105</v>
      </c>
      <c r="F34" s="3">
        <f t="shared" si="0"/>
        <v>0.95238095238095233</v>
      </c>
      <c r="G34" s="5" t="s">
        <v>23</v>
      </c>
      <c r="I34" s="15">
        <f t="shared" si="1"/>
        <v>9.5238095238095237</v>
      </c>
      <c r="J34" s="15">
        <f t="shared" si="3"/>
        <v>1037.6450903938901</v>
      </c>
    </row>
    <row r="35" spans="1:10" x14ac:dyDescent="0.2">
      <c r="A35" s="6">
        <v>45348</v>
      </c>
      <c r="B35" s="14">
        <v>45348</v>
      </c>
      <c r="C35" s="12" t="s">
        <v>38</v>
      </c>
      <c r="D35" s="5">
        <v>10</v>
      </c>
      <c r="E35" s="5">
        <v>110</v>
      </c>
      <c r="F35" s="3">
        <f t="shared" si="0"/>
        <v>1.1000000000000001</v>
      </c>
      <c r="H35" s="5" t="s">
        <v>23</v>
      </c>
      <c r="I35" s="15">
        <f t="shared" si="1"/>
        <v>-10</v>
      </c>
      <c r="J35" s="15">
        <f t="shared" si="3"/>
        <v>1027.6450903938901</v>
      </c>
    </row>
    <row r="36" spans="1:10" x14ac:dyDescent="0.2">
      <c r="A36" s="6">
        <v>45348</v>
      </c>
      <c r="B36" s="14">
        <v>45348</v>
      </c>
      <c r="C36" s="12" t="s">
        <v>39</v>
      </c>
      <c r="D36" s="5">
        <v>10</v>
      </c>
      <c r="E36" s="5">
        <v>-115</v>
      </c>
      <c r="F36" s="3">
        <f t="shared" si="0"/>
        <v>0.86956521739130432</v>
      </c>
      <c r="G36" s="5" t="s">
        <v>23</v>
      </c>
      <c r="I36" s="15">
        <f t="shared" si="1"/>
        <v>8.695652173913043</v>
      </c>
      <c r="J36" s="15">
        <f t="shared" si="3"/>
        <v>1036.3407425678031</v>
      </c>
    </row>
    <row r="37" spans="1:10" x14ac:dyDescent="0.2">
      <c r="A37" s="6">
        <v>45348</v>
      </c>
      <c r="B37" s="14">
        <v>45348</v>
      </c>
      <c r="C37" s="12" t="s">
        <v>40</v>
      </c>
      <c r="D37" s="5">
        <v>10</v>
      </c>
      <c r="E37" s="5">
        <v>-130</v>
      </c>
      <c r="F37" s="3">
        <f t="shared" si="0"/>
        <v>0.76923076923076927</v>
      </c>
      <c r="G37" s="5" t="s">
        <v>23</v>
      </c>
      <c r="I37" s="15">
        <f t="shared" si="1"/>
        <v>7.6923076923076925</v>
      </c>
      <c r="J37" s="15">
        <f t="shared" si="3"/>
        <v>1044.0330502601107</v>
      </c>
    </row>
    <row r="38" spans="1:10" x14ac:dyDescent="0.2">
      <c r="A38" s="6">
        <v>45348</v>
      </c>
      <c r="B38" s="14">
        <v>45348</v>
      </c>
      <c r="C38" s="12" t="s">
        <v>41</v>
      </c>
      <c r="D38" s="5">
        <v>10</v>
      </c>
      <c r="E38" s="5">
        <v>-115</v>
      </c>
      <c r="F38" s="3">
        <f t="shared" si="0"/>
        <v>0.86956521739130432</v>
      </c>
      <c r="G38" s="5" t="s">
        <v>23</v>
      </c>
      <c r="I38" s="15">
        <f t="shared" si="1"/>
        <v>8.695652173913043</v>
      </c>
      <c r="J38" s="15">
        <f t="shared" si="3"/>
        <v>1052.7287024340237</v>
      </c>
    </row>
    <row r="39" spans="1:10" x14ac:dyDescent="0.2">
      <c r="A39" s="6">
        <v>45354</v>
      </c>
      <c r="B39" s="14">
        <v>45354</v>
      </c>
      <c r="C39" s="13" t="s">
        <v>42</v>
      </c>
      <c r="D39" s="5">
        <v>10</v>
      </c>
      <c r="E39" s="5">
        <v>-130</v>
      </c>
      <c r="F39" s="3">
        <f t="shared" si="0"/>
        <v>0.76923076923076927</v>
      </c>
      <c r="H39" s="5" t="s">
        <v>23</v>
      </c>
      <c r="I39" s="15">
        <f t="shared" si="1"/>
        <v>-10</v>
      </c>
      <c r="J39" s="15">
        <f t="shared" si="3"/>
        <v>1042.7287024340237</v>
      </c>
    </row>
    <row r="40" spans="1:10" x14ac:dyDescent="0.2">
      <c r="A40" s="6">
        <v>45354</v>
      </c>
      <c r="B40" s="14">
        <v>45354</v>
      </c>
      <c r="C40" s="12" t="s">
        <v>43</v>
      </c>
      <c r="D40" s="5">
        <v>10</v>
      </c>
      <c r="E40" s="5">
        <v>-114</v>
      </c>
      <c r="F40" s="3">
        <f t="shared" si="0"/>
        <v>0.8771929824561403</v>
      </c>
      <c r="G40" s="5" t="s">
        <v>23</v>
      </c>
      <c r="I40" s="15">
        <f t="shared" si="1"/>
        <v>8.7719298245614024</v>
      </c>
      <c r="J40" s="15">
        <f t="shared" si="3"/>
        <v>1051.500632258585</v>
      </c>
    </row>
    <row r="41" spans="1:10" x14ac:dyDescent="0.2">
      <c r="A41" s="6">
        <v>45354</v>
      </c>
      <c r="B41" s="14">
        <v>45354</v>
      </c>
      <c r="C41" s="13" t="s">
        <v>44</v>
      </c>
      <c r="D41" s="5">
        <v>10</v>
      </c>
      <c r="E41" s="5">
        <v>-124</v>
      </c>
      <c r="F41" s="3">
        <f t="shared" si="0"/>
        <v>0.80645161290322576</v>
      </c>
      <c r="H41" s="5" t="s">
        <v>23</v>
      </c>
      <c r="I41" s="15">
        <f t="shared" si="1"/>
        <v>-10</v>
      </c>
      <c r="J41" s="15">
        <f t="shared" si="3"/>
        <v>1041.500632258585</v>
      </c>
    </row>
    <row r="42" spans="1:10" x14ac:dyDescent="0.2">
      <c r="A42" s="6">
        <v>45354</v>
      </c>
      <c r="B42" s="14">
        <v>45354</v>
      </c>
      <c r="C42" s="12" t="s">
        <v>45</v>
      </c>
      <c r="D42" s="5">
        <v>10</v>
      </c>
      <c r="E42" s="5">
        <v>-118</v>
      </c>
      <c r="F42" s="3">
        <f t="shared" si="0"/>
        <v>0.84745762711864403</v>
      </c>
      <c r="H42" s="5" t="s">
        <v>23</v>
      </c>
      <c r="I42" s="15">
        <f t="shared" si="1"/>
        <v>-10</v>
      </c>
      <c r="J42" s="15">
        <f t="shared" si="3"/>
        <v>1031.500632258585</v>
      </c>
    </row>
    <row r="43" spans="1:10" x14ac:dyDescent="0.2">
      <c r="A43" s="6">
        <v>45354</v>
      </c>
      <c r="B43" s="14">
        <v>45354</v>
      </c>
      <c r="C43" s="12" t="s">
        <v>46</v>
      </c>
      <c r="D43" s="5">
        <v>10</v>
      </c>
      <c r="E43" s="5">
        <v>-121</v>
      </c>
      <c r="F43" s="3">
        <f t="shared" si="0"/>
        <v>0.82644628099173556</v>
      </c>
      <c r="G43" s="5" t="s">
        <v>23</v>
      </c>
      <c r="I43" s="15">
        <f t="shared" si="1"/>
        <v>8.2644628099173563</v>
      </c>
      <c r="J43" s="15">
        <f t="shared" si="3"/>
        <v>1039.7650950685024</v>
      </c>
    </row>
    <row r="44" spans="1:10" x14ac:dyDescent="0.2">
      <c r="A44" s="6">
        <v>45354</v>
      </c>
      <c r="B44" s="14">
        <v>45354</v>
      </c>
      <c r="C44" s="12" t="s">
        <v>47</v>
      </c>
      <c r="D44" s="5">
        <v>10</v>
      </c>
      <c r="E44" s="5">
        <v>-112</v>
      </c>
      <c r="F44" s="3">
        <f t="shared" si="0"/>
        <v>0.8928571428571429</v>
      </c>
      <c r="G44" s="5" t="s">
        <v>23</v>
      </c>
      <c r="I44" s="15">
        <f t="shared" si="1"/>
        <v>8.9285714285714288</v>
      </c>
      <c r="J44" s="15">
        <f t="shared" si="3"/>
        <v>1048.6936664970738</v>
      </c>
    </row>
    <row r="45" spans="1:10" x14ac:dyDescent="0.2">
      <c r="A45" s="6"/>
      <c r="B45" s="6"/>
      <c r="F45" s="3"/>
      <c r="J45" s="16"/>
    </row>
    <row r="47" spans="1:10" x14ac:dyDescent="0.2">
      <c r="A47" s="6"/>
      <c r="B47" s="6"/>
    </row>
    <row r="51" spans="1:6" x14ac:dyDescent="0.2">
      <c r="F51" s="3"/>
    </row>
    <row r="53" spans="1:6" x14ac:dyDescent="0.2">
      <c r="A53" s="6"/>
      <c r="B53" s="6"/>
    </row>
    <row r="54" spans="1:6" x14ac:dyDescent="0.2">
      <c r="F54" s="3"/>
    </row>
    <row r="56" spans="1:6" x14ac:dyDescent="0.2">
      <c r="A56" s="6"/>
      <c r="B56" s="6"/>
    </row>
    <row r="58" spans="1:6" x14ac:dyDescent="0.2">
      <c r="F58" s="3"/>
    </row>
    <row r="60" spans="1:6" x14ac:dyDescent="0.2">
      <c r="A60" s="6"/>
      <c r="B60" s="6"/>
    </row>
    <row r="61" spans="1:6" x14ac:dyDescent="0.2">
      <c r="F61" s="3"/>
    </row>
    <row r="63" spans="1:6" x14ac:dyDescent="0.2">
      <c r="A63" s="6"/>
      <c r="B63" s="6"/>
    </row>
    <row r="64" spans="1:6" x14ac:dyDescent="0.2">
      <c r="F64" s="3"/>
    </row>
    <row r="66" spans="1:6" x14ac:dyDescent="0.2">
      <c r="A66" s="6"/>
      <c r="B66" s="6"/>
    </row>
    <row r="70" spans="1:6" x14ac:dyDescent="0.2">
      <c r="F70" s="3"/>
    </row>
    <row r="72" spans="1:6" x14ac:dyDescent="0.2">
      <c r="A72" s="6"/>
      <c r="B72" s="6"/>
    </row>
    <row r="73" spans="1:6" x14ac:dyDescent="0.2">
      <c r="F73" s="3"/>
    </row>
    <row r="75" spans="1:6" x14ac:dyDescent="0.2">
      <c r="A75" s="6"/>
      <c r="B75" s="6"/>
    </row>
    <row r="77" spans="1:6" x14ac:dyDescent="0.2">
      <c r="F77" s="3"/>
    </row>
    <row r="79" spans="1:6" x14ac:dyDescent="0.2">
      <c r="A79" s="6"/>
      <c r="B79" s="6"/>
    </row>
    <row r="82" spans="1:6" x14ac:dyDescent="0.2">
      <c r="F82" s="3"/>
    </row>
    <row r="84" spans="1:6" x14ac:dyDescent="0.2">
      <c r="A84" s="6"/>
      <c r="B84" s="6"/>
    </row>
    <row r="85" spans="1:6" x14ac:dyDescent="0.2">
      <c r="F85" s="3"/>
    </row>
    <row r="87" spans="1:6" x14ac:dyDescent="0.2">
      <c r="A87" s="6"/>
      <c r="B87" s="6"/>
    </row>
    <row r="88" spans="1:6" x14ac:dyDescent="0.2">
      <c r="F88" s="3"/>
    </row>
    <row r="90" spans="1:6" x14ac:dyDescent="0.2">
      <c r="A90" s="6"/>
      <c r="B90" s="6"/>
    </row>
    <row r="91" spans="1:6" x14ac:dyDescent="0.2">
      <c r="F91" s="3"/>
    </row>
    <row r="93" spans="1:6" x14ac:dyDescent="0.2">
      <c r="A93" s="6"/>
      <c r="B93" s="6"/>
      <c r="F93" s="3"/>
    </row>
    <row r="95" spans="1:6" x14ac:dyDescent="0.2">
      <c r="A95" s="6"/>
      <c r="B95" s="6"/>
    </row>
    <row r="96" spans="1:6" x14ac:dyDescent="0.2">
      <c r="F96" s="3"/>
    </row>
    <row r="98" spans="1:6" x14ac:dyDescent="0.2">
      <c r="A98" s="6"/>
      <c r="B98" s="6"/>
      <c r="F98" s="3"/>
    </row>
    <row r="100" spans="1:6" x14ac:dyDescent="0.2">
      <c r="A100" s="6"/>
      <c r="B100" s="6"/>
    </row>
    <row r="101" spans="1:6" x14ac:dyDescent="0.2">
      <c r="F1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Sambhav Upadhyay</dc:creator>
  <cp:lastModifiedBy>Sambhav Upadhyay</cp:lastModifiedBy>
  <dcterms:created xsi:type="dcterms:W3CDTF">2024-02-18T18:49:33Z</dcterms:created>
  <dcterms:modified xsi:type="dcterms:W3CDTF">2024-03-06T20:01:05Z</dcterms:modified>
</cp:coreProperties>
</file>